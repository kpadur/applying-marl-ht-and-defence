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kartpadur/Desktop/"/>
    </mc:Choice>
  </mc:AlternateContent>
  <xr:revisionPtr revIDLastSave="0" documentId="13_ncr:1_{A9A41DFA-10F0-0A4E-B0D0-1D3551A22DAD}" xr6:coauthVersionLast="47" xr6:coauthVersionMax="47" xr10:uidLastSave="{00000000-0000-0000-0000-000000000000}"/>
  <bookViews>
    <workbookView xWindow="1160" yWindow="500" windowWidth="27640" windowHeight="17500" activeTab="1" xr2:uid="{00000000-000D-0000-FFFF-FFFF00000000}"/>
  </bookViews>
  <sheets>
    <sheet name="results_w_regression_analysis" sheetId="2" r:id="rId1"/>
    <sheet name="sobol_sensitivity_resul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1" i="3" l="1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<sst xmlns="http://schemas.openxmlformats.org/spreadsheetml/2006/main" count="501" uniqueCount="66">
  <si>
    <t>output_text</t>
  </si>
  <si>
    <t>output</t>
  </si>
  <si>
    <t>parameter</t>
  </si>
  <si>
    <t>s1_index</t>
  </si>
  <si>
    <t>s1_conf</t>
  </si>
  <si>
    <t>total_index</t>
  </si>
  <si>
    <t>total_conf</t>
  </si>
  <si>
    <t>regression_coef</t>
  </si>
  <si>
    <t>signif</t>
  </si>
  <si>
    <t>std</t>
  </si>
  <si>
    <t>r2</t>
  </si>
  <si>
    <t>sp0_social_trust</t>
  </si>
  <si>
    <t>$\overline{S_1}$</t>
  </si>
  <si>
    <t>$\psi$</t>
  </si>
  <si>
    <t>***</t>
  </si>
  <si>
    <t>Notes:</t>
  </si>
  <si>
    <t>sp1_social_trust</t>
  </si>
  <si>
    <t xml:space="preserve"> $\overline{S_2}$</t>
  </si>
  <si>
    <t>† p &lt;=0.1 ; * p &lt;= 0.05 ; ** p &lt;= 0.01 ; *** p &lt;=0.001</t>
  </si>
  <si>
    <t>$\Lambda$</t>
  </si>
  <si>
    <t>included if R2 is higher than 0.001</t>
  </si>
  <si>
    <t>sp2_social_trust</t>
  </si>
  <si>
    <t xml:space="preserve"> $\overline{S_3}$</t>
  </si>
  <si>
    <t>**</t>
  </si>
  <si>
    <t>sp0_request_rate</t>
  </si>
  <si>
    <t>$\overline{\Xi_1}$</t>
  </si>
  <si>
    <t>sp1_request_rate</t>
  </si>
  <si>
    <t>$\overline{\Xi_2}$</t>
  </si>
  <si>
    <t>*</t>
  </si>
  <si>
    <t>sp2_request_rate</t>
  </si>
  <si>
    <t>$\overline{\Xi_3}$</t>
  </si>
  <si>
    <t>sp0_availability</t>
  </si>
  <si>
    <t>$\overline{L_1}$</t>
  </si>
  <si>
    <t>$\rho$</t>
  </si>
  <si>
    <t>$\Psi$</t>
  </si>
  <si>
    <t>$\lambda$</t>
  </si>
  <si>
    <t>$w$</t>
  </si>
  <si>
    <t>sp1_availability</t>
  </si>
  <si>
    <t>$\overline{L_2}$</t>
  </si>
  <si>
    <t>sp2_availability</t>
  </si>
  <si>
    <t>$\overline{L_3}$</t>
  </si>
  <si>
    <t>op0_expression_rate</t>
  </si>
  <si>
    <t>$\overline{\Omega_1}$</t>
  </si>
  <si>
    <t>op1_expression_rate</t>
  </si>
  <si>
    <t>$\overline{\Omega_2}$</t>
  </si>
  <si>
    <t>op2_expression_rate</t>
  </si>
  <si>
    <t>$\overline{\Omega_3}$</t>
  </si>
  <si>
    <t>†</t>
  </si>
  <si>
    <t>op3_expression_rate</t>
  </si>
  <si>
    <t>$\overline{\Omega_4}$</t>
  </si>
  <si>
    <t>op4_expression_rate</t>
  </si>
  <si>
    <t>$\overline{\Omega_5}$</t>
  </si>
  <si>
    <t>Output</t>
  </si>
  <si>
    <t>Parameter</t>
  </si>
  <si>
    <t>First-order Index (S1)</t>
  </si>
  <si>
    <t>S1 Confidence Interval</t>
  </si>
  <si>
    <t>Total-order Index (ST)</t>
  </si>
  <si>
    <t>ST Confidence Interval</t>
  </si>
  <si>
    <t>include_y_n</t>
  </si>
  <si>
    <t>Note: include if S1 &gt;= 0.05</t>
  </si>
  <si>
    <t>total_rewards</t>
  </si>
  <si>
    <t>$\kappa$</t>
  </si>
  <si>
    <t>$\zeta$</t>
  </si>
  <si>
    <t>$\epsilon$</t>
  </si>
  <si>
    <t>$\eta$</t>
  </si>
  <si>
    <t>op5_expression_rate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</si>
</sst>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>
    <font>
      <sz val="12"/>
      <color indexed="8"/>
      <name val="Aptos Narrow"/>
    </font>
    <font>
      <sz val="11"/>
      <color indexed="14"/>
      <name val="Menlo Regular"/>
    </font>
    <font>
      <b/>
      <sz val="12"/>
      <color indexed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13"/>
        <bgColor auto="1"/>
      </patternFill>
    </fill>
  </fills>
  <borders count="2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12"/>
      </top>
      <bottom style="thin">
        <color indexed="8"/>
      </bottom>
      <diagonal/>
    </border>
    <border>
      <left/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12"/>
      </right>
      <top style="thin">
        <color indexed="8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 style="thin">
        <color indexed="8"/>
      </top>
      <bottom style="thin">
        <color indexed="12"/>
      </bottom>
      <diagonal/>
    </border>
    <border>
      <left/>
      <right/>
      <top style="thin">
        <color indexed="8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12"/>
      </top>
      <bottom/>
      <diagonal/>
    </border>
  </borders>
  <cellStyleXfs count="1">
    <xf numFmtId="0" fontId="0" fillId="0" borderId="0" applyNumberFormat="0" applyFill="0" applyBorder="0" applyProtection="0"/>
  </cellStyleXfs>
  <cellXfs count="50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4" xfId="0" applyBorder="1"/>
    <xf numFmtId="0" fontId="0" fillId="0" borderId="5" xfId="0" applyBorder="1"/>
    <xf numFmtId="49" fontId="0" fillId="2" borderId="6" xfId="0" applyNumberFormat="1" applyFill="1" applyBorder="1"/>
    <xf numFmtId="49" fontId="0" fillId="2" borderId="7" xfId="0" applyNumberFormat="1" applyFill="1" applyBorder="1"/>
    <xf numFmtId="2" fontId="0" fillId="2" borderId="7" xfId="0" applyNumberFormat="1" applyFill="1" applyBorder="1"/>
    <xf numFmtId="0" fontId="0" fillId="2" borderId="7" xfId="0" applyNumberFormat="1" applyFill="1" applyBorder="1"/>
    <xf numFmtId="0" fontId="0" fillId="2" borderId="8" xfId="0" applyNumberFormat="1" applyFill="1" applyBorder="1"/>
    <xf numFmtId="0" fontId="1" fillId="0" borderId="9" xfId="0" applyFont="1" applyBorder="1"/>
    <xf numFmtId="49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3" xfId="0" applyBorder="1"/>
    <xf numFmtId="49" fontId="0" fillId="0" borderId="13" xfId="0" applyNumberFormat="1" applyBorder="1"/>
    <xf numFmtId="0" fontId="0" fillId="0" borderId="14" xfId="0" applyBorder="1"/>
    <xf numFmtId="0" fontId="0" fillId="0" borderId="15" xfId="0" applyBorder="1"/>
    <xf numFmtId="0" fontId="1" fillId="0" borderId="6" xfId="0" applyFont="1" applyBorder="1"/>
    <xf numFmtId="0" fontId="0" fillId="0" borderId="16" xfId="0" applyBorder="1"/>
    <xf numFmtId="164" fontId="0" fillId="2" borderId="7" xfId="0" applyNumberFormat="1" applyFill="1" applyBorder="1"/>
    <xf numFmtId="0" fontId="0" fillId="0" borderId="6" xfId="0" applyBorder="1"/>
    <xf numFmtId="0" fontId="0" fillId="0" borderId="7" xfId="0" applyBorder="1"/>
    <xf numFmtId="0" fontId="0" fillId="0" borderId="17" xfId="0" applyBorder="1"/>
    <xf numFmtId="165" fontId="0" fillId="2" borderId="7" xfId="0" applyNumberFormat="1" applyFill="1" applyBorder="1"/>
    <xf numFmtId="49" fontId="0" fillId="0" borderId="6" xfId="0" applyNumberFormat="1" applyBorder="1"/>
    <xf numFmtId="49" fontId="0" fillId="0" borderId="7" xfId="0" applyNumberFormat="1" applyBorder="1"/>
    <xf numFmtId="2" fontId="0" fillId="0" borderId="7" xfId="0" applyNumberFormat="1" applyBorder="1"/>
    <xf numFmtId="0" fontId="0" fillId="0" borderId="7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2" borderId="8" xfId="0" applyNumberFormat="1" applyFill="1" applyBorder="1"/>
    <xf numFmtId="165" fontId="0" fillId="0" borderId="7" xfId="0" applyNumberFormat="1" applyBorder="1"/>
    <xf numFmtId="49" fontId="0" fillId="2" borderId="13" xfId="0" applyNumberFormat="1" applyFill="1" applyBorder="1"/>
    <xf numFmtId="49" fontId="0" fillId="2" borderId="14" xfId="0" applyNumberFormat="1" applyFill="1" applyBorder="1"/>
    <xf numFmtId="2" fontId="0" fillId="2" borderId="14" xfId="0" applyNumberFormat="1" applyFill="1" applyBorder="1"/>
    <xf numFmtId="165" fontId="0" fillId="2" borderId="14" xfId="0" applyNumberFormat="1" applyFill="1" applyBorder="1"/>
    <xf numFmtId="164" fontId="0" fillId="2" borderId="14" xfId="0" applyNumberFormat="1" applyFill="1" applyBorder="1"/>
    <xf numFmtId="0" fontId="0" fillId="2" borderId="15" xfId="0" applyNumberFormat="1" applyFill="1" applyBorder="1"/>
    <xf numFmtId="0" fontId="0" fillId="0" borderId="18" xfId="0" applyBorder="1"/>
    <xf numFmtId="0" fontId="0" fillId="0" borderId="19" xfId="0" applyBorder="1"/>
    <xf numFmtId="2" fontId="0" fillId="0" borderId="19" xfId="0" applyNumberFormat="1" applyBorder="1"/>
    <xf numFmtId="164" fontId="0" fillId="0" borderId="19" xfId="0" applyNumberFormat="1" applyBorder="1"/>
    <xf numFmtId="0" fontId="0" fillId="0" borderId="20" xfId="0" applyBorder="1"/>
    <xf numFmtId="0" fontId="0" fillId="0" borderId="21" xfId="0" applyBorder="1"/>
    <xf numFmtId="0" fontId="0" fillId="0" borderId="25" xfId="0" applyBorder="1"/>
    <xf numFmtId="49" fontId="2" fillId="0" borderId="22" xfId="0" applyNumberFormat="1" applyFont="1" applyBorder="1"/>
    <xf numFmtId="49" fontId="2" fillId="0" borderId="23" xfId="0" applyNumberFormat="1" applyFont="1" applyBorder="1"/>
    <xf numFmtId="49" fontId="2" fillId="0" borderId="24" xfId="0" applyNumberFormat="1" applyFont="1" applyBorder="1"/>
  </cellXfs>
  <cellStyles count="1">
    <cellStyle name="Normal" xfId="0" builtinId="0"/>
  </cellStyles>
  <dxfs count="10">
    <dxf>
      <font>
        <b/>
      </font>
      <numFmt numFmtId="30" formatCode="@"/>
      <border diagonalUp="0" diagonalDown="0" outline="0">
        <left/>
        <right/>
        <top/>
        <bottom/>
      </border>
    </dxf>
    <dxf>
      <border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E8E8E8"/>
      <rgbColor rgb="FF6A995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C30BF5-CF52-964B-AD8B-3B9EFB20EF7D}" name="Table1" displayName="Table1" ref="A1:G161" totalsRowShown="0" headerRowDxfId="0" headerRowBorderDxfId="1" tableBorderDxfId="9">
  <autoFilter ref="A1:G161" xr:uid="{C0C30BF5-CF52-964B-AD8B-3B9EFB20EF7D}">
    <filterColumn colId="6">
      <customFilters>
        <customFilter operator="notEqual" val=" "/>
      </customFilters>
    </filterColumn>
  </autoFilter>
  <tableColumns count="7">
    <tableColumn id="1" xr3:uid="{DD4BF241-375D-3643-97C8-E5E69BB01C41}" name="Output" dataDxfId="8"/>
    <tableColumn id="2" xr3:uid="{3CEA0BD7-32CB-6444-80B9-23411A199C91}" name="Parameter" dataDxfId="7"/>
    <tableColumn id="3" xr3:uid="{A3C70492-1B42-1A45-A14B-F4B0E3B511BD}" name="First-order Index (S1)" dataDxfId="6"/>
    <tableColumn id="4" xr3:uid="{D7CB9F2C-EDF0-1246-8235-1FCD7A7A2077}" name="S1 Confidence Interval" dataDxfId="5"/>
    <tableColumn id="5" xr3:uid="{7E77554B-D96F-2943-AA6D-EEE0B9405F7A}" name="Total-order Index (ST)" dataDxfId="4"/>
    <tableColumn id="6" xr3:uid="{FF70E4CA-C18B-9941-B47C-9C4A0F26E219}" name="ST Confidence Interval" dataDxfId="3"/>
    <tableColumn id="7" xr3:uid="{AE3EDC1E-9FFE-384D-BA6F-764B78B33AE5}" name="include_y_n" dataDxfId="2">
      <calculatedColumnFormula>IF(C2:C2&gt;=0.05,1,"")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4"/>
  <sheetViews>
    <sheetView showGridLines="0" workbookViewId="0">
      <selection activeCell="D8" sqref="D8"/>
    </sheetView>
  </sheetViews>
  <sheetFormatPr baseColWidth="10" defaultColWidth="10.83203125" defaultRowHeight="16" customHeight="1"/>
  <cols>
    <col min="1" max="1" width="18" style="1" customWidth="1"/>
    <col min="2" max="2" width="19.6640625" style="1" customWidth="1"/>
    <col min="3" max="3" width="11.5" style="1" customWidth="1"/>
    <col min="4" max="5" width="10.83203125" style="1" customWidth="1"/>
    <col min="6" max="6" width="12.33203125" style="1" customWidth="1"/>
    <col min="7" max="7" width="11.33203125" style="1" customWidth="1"/>
    <col min="8" max="8" width="16.1640625" style="1" customWidth="1"/>
    <col min="9" max="17" width="10.83203125" style="1" customWidth="1"/>
    <col min="18" max="16384" width="10.83203125" style="1"/>
  </cols>
  <sheetData>
    <row r="1" spans="1:16" ht="17" customHeight="1">
      <c r="A1" s="47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9" t="s">
        <v>10</v>
      </c>
      <c r="L1" s="46"/>
      <c r="M1" s="3"/>
      <c r="N1" s="3"/>
      <c r="O1" s="3"/>
      <c r="P1" s="4"/>
    </row>
    <row r="2" spans="1:16" ht="17" customHeight="1">
      <c r="A2" s="5" t="s">
        <v>11</v>
      </c>
      <c r="B2" s="6" t="s">
        <v>12</v>
      </c>
      <c r="C2" s="6" t="s">
        <v>13</v>
      </c>
      <c r="D2" s="7">
        <v>8.2141123262740201E-2</v>
      </c>
      <c r="E2" s="7">
        <v>0.11253583545040299</v>
      </c>
      <c r="F2" s="7">
        <v>0.99462776395247599</v>
      </c>
      <c r="G2" s="7">
        <v>0.10696546304118699</v>
      </c>
      <c r="H2" s="8">
        <v>5.1299999999999998E-2</v>
      </c>
      <c r="I2" s="6" t="s">
        <v>14</v>
      </c>
      <c r="J2" s="8">
        <v>5.0000000000000001E-3</v>
      </c>
      <c r="K2" s="9">
        <v>1.9E-2</v>
      </c>
      <c r="L2" s="10"/>
      <c r="M2" s="11" t="s">
        <v>15</v>
      </c>
      <c r="N2" s="12"/>
      <c r="O2" s="12"/>
      <c r="P2" s="13"/>
    </row>
    <row r="3" spans="1:16" ht="17" customHeight="1">
      <c r="A3" s="5" t="s">
        <v>16</v>
      </c>
      <c r="B3" s="6" t="s">
        <v>17</v>
      </c>
      <c r="C3" s="6" t="s">
        <v>13</v>
      </c>
      <c r="D3" s="7">
        <v>0.11743216408028299</v>
      </c>
      <c r="E3" s="7">
        <v>0.117068652300858</v>
      </c>
      <c r="F3" s="7">
        <v>1.01846614548904</v>
      </c>
      <c r="G3" s="7">
        <v>0.16405216964984801</v>
      </c>
      <c r="H3" s="8">
        <v>1.1299999999999999E-2</v>
      </c>
      <c r="I3" s="6" t="s">
        <v>14</v>
      </c>
      <c r="J3" s="8">
        <v>1E-3</v>
      </c>
      <c r="K3" s="9">
        <v>3.1E-2</v>
      </c>
      <c r="L3" s="10"/>
      <c r="M3" s="2" t="s">
        <v>18</v>
      </c>
      <c r="N3" s="14"/>
      <c r="O3" s="14"/>
      <c r="P3" s="15"/>
    </row>
    <row r="4" spans="1:16" ht="17" customHeight="1">
      <c r="A4" s="5" t="s">
        <v>16</v>
      </c>
      <c r="B4" s="6" t="s">
        <v>17</v>
      </c>
      <c r="C4" s="6" t="s">
        <v>19</v>
      </c>
      <c r="D4" s="7">
        <v>8.4582024737190301E-2</v>
      </c>
      <c r="E4" s="7">
        <v>0.11594731974194</v>
      </c>
      <c r="F4" s="7">
        <v>1.0472904124786</v>
      </c>
      <c r="G4" s="7">
        <v>0.14696552763249199</v>
      </c>
      <c r="H4" s="8">
        <v>-5.7000000000000002E-3</v>
      </c>
      <c r="I4" s="6" t="s">
        <v>14</v>
      </c>
      <c r="J4" s="8">
        <v>1E-3</v>
      </c>
      <c r="K4" s="9">
        <v>8.0000000000000002E-3</v>
      </c>
      <c r="L4" s="10"/>
      <c r="M4" s="16" t="s">
        <v>20</v>
      </c>
      <c r="N4" s="17"/>
      <c r="O4" s="17"/>
      <c r="P4" s="18"/>
    </row>
    <row r="5" spans="1:16" ht="17" customHeight="1">
      <c r="A5" s="5" t="s">
        <v>21</v>
      </c>
      <c r="B5" s="6" t="s">
        <v>22</v>
      </c>
      <c r="C5" s="6" t="s">
        <v>13</v>
      </c>
      <c r="D5" s="7">
        <v>5.79125427177394E-2</v>
      </c>
      <c r="E5" s="7">
        <v>0.110815559896176</v>
      </c>
      <c r="F5" s="7">
        <v>1.0390834251680601</v>
      </c>
      <c r="G5" s="7">
        <v>0.13204147806097799</v>
      </c>
      <c r="H5" s="8">
        <v>1.14E-2</v>
      </c>
      <c r="I5" s="6" t="s">
        <v>23</v>
      </c>
      <c r="J5" s="8">
        <v>4.0000000000000001E-3</v>
      </c>
      <c r="K5" s="9">
        <v>1E-3</v>
      </c>
      <c r="L5" s="19"/>
      <c r="M5" s="14"/>
      <c r="N5" s="14"/>
      <c r="O5" s="14"/>
      <c r="P5" s="20"/>
    </row>
    <row r="6" spans="1:16" ht="17" customHeight="1">
      <c r="A6" s="5" t="s">
        <v>24</v>
      </c>
      <c r="B6" s="6" t="s">
        <v>25</v>
      </c>
      <c r="C6" s="6" t="s">
        <v>13</v>
      </c>
      <c r="D6" s="7">
        <v>9.2062890355471105E-2</v>
      </c>
      <c r="E6" s="7">
        <v>0.12110244689453201</v>
      </c>
      <c r="F6" s="7">
        <v>1.09200069223068</v>
      </c>
      <c r="G6" s="7">
        <v>0.23499368623664799</v>
      </c>
      <c r="H6" s="8">
        <v>1.1999999999999999E-3</v>
      </c>
      <c r="I6" s="6" t="s">
        <v>14</v>
      </c>
      <c r="J6" s="21">
        <v>0</v>
      </c>
      <c r="K6" s="9">
        <v>1.2999999999999999E-2</v>
      </c>
      <c r="L6" s="22"/>
      <c r="M6" s="23"/>
      <c r="N6" s="23"/>
      <c r="O6" s="23"/>
      <c r="P6" s="24"/>
    </row>
    <row r="7" spans="1:16" ht="17" customHeight="1">
      <c r="A7" s="5" t="s">
        <v>24</v>
      </c>
      <c r="B7" s="6" t="s">
        <v>25</v>
      </c>
      <c r="C7" s="6" t="s">
        <v>19</v>
      </c>
      <c r="D7" s="7">
        <v>9.32284884295322E-2</v>
      </c>
      <c r="E7" s="7">
        <v>0.12878993656151999</v>
      </c>
      <c r="F7" s="7">
        <v>1.0165521536884199</v>
      </c>
      <c r="G7" s="7">
        <v>0.19943336931946801</v>
      </c>
      <c r="H7" s="8">
        <v>-5.0000000000000001E-4</v>
      </c>
      <c r="I7" s="6" t="s">
        <v>14</v>
      </c>
      <c r="J7" s="21">
        <v>0</v>
      </c>
      <c r="K7" s="9">
        <v>2E-3</v>
      </c>
      <c r="L7" s="22"/>
      <c r="M7" s="23"/>
      <c r="N7" s="23"/>
      <c r="O7" s="23"/>
      <c r="P7" s="24"/>
    </row>
    <row r="8" spans="1:16" ht="17" customHeight="1">
      <c r="A8" s="5" t="s">
        <v>26</v>
      </c>
      <c r="B8" s="6" t="s">
        <v>27</v>
      </c>
      <c r="C8" s="6" t="s">
        <v>13</v>
      </c>
      <c r="D8" s="7">
        <v>8.8506106031446999E-2</v>
      </c>
      <c r="E8" s="7">
        <v>0.118515045194641</v>
      </c>
      <c r="F8" s="7">
        <v>1.1341894693382699</v>
      </c>
      <c r="G8" s="7">
        <v>0.28957528747476202</v>
      </c>
      <c r="H8" s="8">
        <v>2.9999999999999997E-4</v>
      </c>
      <c r="I8" s="6" t="s">
        <v>14</v>
      </c>
      <c r="J8" s="21">
        <v>0</v>
      </c>
      <c r="K8" s="9">
        <v>8.0000000000000002E-3</v>
      </c>
      <c r="L8" s="22"/>
      <c r="M8" s="23"/>
      <c r="N8" s="23"/>
      <c r="O8" s="23"/>
      <c r="P8" s="24"/>
    </row>
    <row r="9" spans="1:16" ht="17" customHeight="1">
      <c r="A9" s="5" t="s">
        <v>26</v>
      </c>
      <c r="B9" s="6" t="s">
        <v>27</v>
      </c>
      <c r="C9" s="6" t="s">
        <v>19</v>
      </c>
      <c r="D9" s="7">
        <v>9.3876381447670507E-2</v>
      </c>
      <c r="E9" s="7">
        <v>0.102831415371055</v>
      </c>
      <c r="F9" s="7">
        <v>0.99784892324609198</v>
      </c>
      <c r="G9" s="7">
        <v>0.21920651026238799</v>
      </c>
      <c r="H9" s="25">
        <v>-8.7000000000000001E-5</v>
      </c>
      <c r="I9" s="6" t="s">
        <v>28</v>
      </c>
      <c r="J9" s="21">
        <v>0</v>
      </c>
      <c r="K9" s="9">
        <v>1E-3</v>
      </c>
      <c r="L9" s="22"/>
      <c r="M9" s="23"/>
      <c r="N9" s="23"/>
      <c r="O9" s="23"/>
      <c r="P9" s="24"/>
    </row>
    <row r="10" spans="1:16" ht="17" customHeight="1">
      <c r="A10" s="5" t="s">
        <v>29</v>
      </c>
      <c r="B10" s="6" t="s">
        <v>30</v>
      </c>
      <c r="C10" s="6" t="s">
        <v>13</v>
      </c>
      <c r="D10" s="7">
        <v>9.0721969830910895E-2</v>
      </c>
      <c r="E10" s="7">
        <v>0.111534953226224</v>
      </c>
      <c r="F10" s="7">
        <v>1.07400403236104</v>
      </c>
      <c r="G10" s="7">
        <v>0.223755533995288</v>
      </c>
      <c r="H10" s="8">
        <v>8.9999999999999998E-4</v>
      </c>
      <c r="I10" s="6" t="s">
        <v>14</v>
      </c>
      <c r="J10" s="21">
        <v>0</v>
      </c>
      <c r="K10" s="9">
        <v>1.4999999999999999E-2</v>
      </c>
      <c r="L10" s="22"/>
      <c r="M10" s="23"/>
      <c r="N10" s="23"/>
      <c r="O10" s="23"/>
      <c r="P10" s="24"/>
    </row>
    <row r="11" spans="1:16" ht="17" customHeight="1">
      <c r="A11" s="5" t="s">
        <v>29</v>
      </c>
      <c r="B11" s="6" t="s">
        <v>30</v>
      </c>
      <c r="C11" s="6" t="s">
        <v>19</v>
      </c>
      <c r="D11" s="7">
        <v>9.0081357559754605E-2</v>
      </c>
      <c r="E11" s="7">
        <v>0.112414871042158</v>
      </c>
      <c r="F11" s="7">
        <v>1.02550676852961</v>
      </c>
      <c r="G11" s="7">
        <v>0.15566975682713599</v>
      </c>
      <c r="H11" s="8">
        <v>-4.0000000000000002E-4</v>
      </c>
      <c r="I11" s="6" t="s">
        <v>14</v>
      </c>
      <c r="J11" s="21">
        <v>0</v>
      </c>
      <c r="K11" s="9">
        <v>3.0000000000000001E-3</v>
      </c>
      <c r="L11" s="22"/>
      <c r="M11" s="23"/>
      <c r="N11" s="23"/>
      <c r="O11" s="23"/>
      <c r="P11" s="24"/>
    </row>
    <row r="12" spans="1:16" ht="17" customHeight="1">
      <c r="A12" s="26" t="s">
        <v>31</v>
      </c>
      <c r="B12" s="27" t="s">
        <v>32</v>
      </c>
      <c r="C12" s="27" t="s">
        <v>33</v>
      </c>
      <c r="D12" s="28">
        <v>7.7710361832953698E-2</v>
      </c>
      <c r="E12" s="28">
        <v>0.12861635388947201</v>
      </c>
      <c r="F12" s="28">
        <v>0.960837672297992</v>
      </c>
      <c r="G12" s="28">
        <v>0.12422878241025399</v>
      </c>
      <c r="H12" s="29">
        <v>-2.9999999999999997E-4</v>
      </c>
      <c r="I12" s="23"/>
      <c r="J12" s="30">
        <v>8.0000000000000002E-3</v>
      </c>
      <c r="K12" s="31">
        <v>0</v>
      </c>
      <c r="L12" s="22"/>
      <c r="M12" s="23"/>
      <c r="N12" s="23"/>
      <c r="O12" s="23"/>
      <c r="P12" s="24"/>
    </row>
    <row r="13" spans="1:16" ht="17" customHeight="1">
      <c r="A13" s="5" t="s">
        <v>31</v>
      </c>
      <c r="B13" s="6" t="s">
        <v>32</v>
      </c>
      <c r="C13" s="6" t="s">
        <v>34</v>
      </c>
      <c r="D13" s="7">
        <v>7.3323925622790498E-2</v>
      </c>
      <c r="E13" s="7">
        <v>0.124032583004377</v>
      </c>
      <c r="F13" s="7">
        <v>1.0630115209826401</v>
      </c>
      <c r="G13" s="7">
        <v>0.13019561855450701</v>
      </c>
      <c r="H13" s="8">
        <v>-0.2641</v>
      </c>
      <c r="I13" s="6" t="s">
        <v>14</v>
      </c>
      <c r="J13" s="21">
        <v>7.0000000000000001E-3</v>
      </c>
      <c r="K13" s="32">
        <v>0.19500000000000001</v>
      </c>
      <c r="L13" s="22"/>
      <c r="M13" s="23"/>
      <c r="N13" s="23"/>
      <c r="O13" s="23"/>
      <c r="P13" s="24"/>
    </row>
    <row r="14" spans="1:16" ht="17" customHeight="1">
      <c r="A14" s="5" t="s">
        <v>31</v>
      </c>
      <c r="B14" s="6" t="s">
        <v>32</v>
      </c>
      <c r="C14" s="6" t="s">
        <v>13</v>
      </c>
      <c r="D14" s="7">
        <v>0.103120421323687</v>
      </c>
      <c r="E14" s="7">
        <v>0.12949143614467701</v>
      </c>
      <c r="F14" s="7">
        <v>0.97150613959792498</v>
      </c>
      <c r="G14" s="7">
        <v>0.11343113100312301</v>
      </c>
      <c r="H14" s="8">
        <v>0.25330000000000003</v>
      </c>
      <c r="I14" s="6" t="s">
        <v>14</v>
      </c>
      <c r="J14" s="21">
        <v>7.0000000000000001E-3</v>
      </c>
      <c r="K14" s="32">
        <v>0.17899999999999999</v>
      </c>
      <c r="L14" s="22"/>
      <c r="M14" s="23"/>
      <c r="N14" s="23"/>
      <c r="O14" s="23"/>
      <c r="P14" s="24"/>
    </row>
    <row r="15" spans="1:16" ht="17" customHeight="1">
      <c r="A15" s="5" t="s">
        <v>31</v>
      </c>
      <c r="B15" s="6" t="s">
        <v>32</v>
      </c>
      <c r="C15" s="6" t="s">
        <v>19</v>
      </c>
      <c r="D15" s="7">
        <v>8.1179207339686699E-2</v>
      </c>
      <c r="E15" s="7">
        <v>0.122413745224088</v>
      </c>
      <c r="F15" s="7">
        <v>1.00290366652268</v>
      </c>
      <c r="G15" s="7">
        <v>0.13391395161297501</v>
      </c>
      <c r="H15" s="8">
        <v>-0.1341</v>
      </c>
      <c r="I15" s="6" t="s">
        <v>14</v>
      </c>
      <c r="J15" s="21">
        <v>7.0000000000000001E-3</v>
      </c>
      <c r="K15" s="32">
        <v>0.05</v>
      </c>
      <c r="L15" s="22"/>
      <c r="M15" s="23"/>
      <c r="N15" s="23"/>
      <c r="O15" s="23"/>
      <c r="P15" s="24"/>
    </row>
    <row r="16" spans="1:16" ht="17" customHeight="1">
      <c r="A16" s="5" t="s">
        <v>31</v>
      </c>
      <c r="B16" s="6" t="s">
        <v>32</v>
      </c>
      <c r="C16" s="6" t="s">
        <v>35</v>
      </c>
      <c r="D16" s="7">
        <v>9.8238230225012602E-2</v>
      </c>
      <c r="E16" s="7">
        <v>0.111471102081031</v>
      </c>
      <c r="F16" s="7">
        <v>1.0160797153021</v>
      </c>
      <c r="G16" s="7">
        <v>0.13369032822360599</v>
      </c>
      <c r="H16" s="8">
        <v>0.36840000000000001</v>
      </c>
      <c r="I16" s="6" t="s">
        <v>14</v>
      </c>
      <c r="J16" s="21">
        <v>6.0000000000000001E-3</v>
      </c>
      <c r="K16" s="32">
        <v>0.379</v>
      </c>
      <c r="L16" s="22"/>
      <c r="M16" s="23"/>
      <c r="N16" s="23"/>
      <c r="O16" s="23"/>
      <c r="P16" s="24"/>
    </row>
    <row r="17" spans="1:16" ht="17" customHeight="1">
      <c r="A17" s="26" t="s">
        <v>31</v>
      </c>
      <c r="B17" s="27" t="s">
        <v>32</v>
      </c>
      <c r="C17" s="27" t="s">
        <v>36</v>
      </c>
      <c r="D17" s="28">
        <v>6.8596399428382193E-2</v>
      </c>
      <c r="E17" s="28">
        <v>0.13353229978037501</v>
      </c>
      <c r="F17" s="28">
        <v>0.996583611804851</v>
      </c>
      <c r="G17" s="28">
        <v>0.128908386959418</v>
      </c>
      <c r="H17" s="29">
        <v>-8.0000000000000004E-4</v>
      </c>
      <c r="I17" s="23"/>
      <c r="J17" s="30">
        <v>8.0000000000000002E-3</v>
      </c>
      <c r="K17" s="31">
        <v>0</v>
      </c>
      <c r="L17" s="22"/>
      <c r="M17" s="23"/>
      <c r="N17" s="23"/>
      <c r="O17" s="23"/>
      <c r="P17" s="24"/>
    </row>
    <row r="18" spans="1:16" ht="17" customHeight="1">
      <c r="A18" s="26" t="s">
        <v>31</v>
      </c>
      <c r="B18" s="27" t="s">
        <v>32</v>
      </c>
      <c r="C18" s="27" t="s">
        <v>63</v>
      </c>
      <c r="D18" s="28">
        <v>0.14420964510457099</v>
      </c>
      <c r="E18" s="28">
        <v>0.11457733085501</v>
      </c>
      <c r="F18" s="28">
        <v>1.02941107567761</v>
      </c>
      <c r="G18" s="28">
        <v>0.131751760006066</v>
      </c>
      <c r="H18" s="29">
        <v>-3.7000000000000002E-3</v>
      </c>
      <c r="I18" s="23"/>
      <c r="J18" s="30">
        <v>8.0000000000000002E-3</v>
      </c>
      <c r="K18" s="31">
        <v>0</v>
      </c>
      <c r="L18" s="22"/>
      <c r="M18" s="23"/>
      <c r="N18" s="23"/>
      <c r="O18" s="23"/>
      <c r="P18" s="24"/>
    </row>
    <row r="19" spans="1:16" ht="17" customHeight="1">
      <c r="A19" s="26" t="s">
        <v>37</v>
      </c>
      <c r="B19" s="27" t="s">
        <v>38</v>
      </c>
      <c r="C19" s="27" t="s">
        <v>33</v>
      </c>
      <c r="D19" s="28">
        <v>7.8398210553723993E-2</v>
      </c>
      <c r="E19" s="28">
        <v>0.100616810827709</v>
      </c>
      <c r="F19" s="28">
        <v>0.96111999745321697</v>
      </c>
      <c r="G19" s="28">
        <v>0.12113585856884999</v>
      </c>
      <c r="H19" s="29">
        <v>-2.9999999999999997E-4</v>
      </c>
      <c r="I19" s="23"/>
      <c r="J19" s="29">
        <v>8.0000000000000002E-3</v>
      </c>
      <c r="K19" s="31">
        <v>0</v>
      </c>
      <c r="L19" s="22"/>
      <c r="M19" s="23"/>
      <c r="N19" s="23"/>
      <c r="O19" s="23"/>
      <c r="P19" s="24"/>
    </row>
    <row r="20" spans="1:16" ht="17" customHeight="1">
      <c r="A20" s="5" t="s">
        <v>37</v>
      </c>
      <c r="B20" s="6" t="s">
        <v>38</v>
      </c>
      <c r="C20" s="6" t="s">
        <v>34</v>
      </c>
      <c r="D20" s="7">
        <v>7.4107861601643302E-2</v>
      </c>
      <c r="E20" s="7">
        <v>0.12752988629950701</v>
      </c>
      <c r="F20" s="7">
        <v>1.06289548528321</v>
      </c>
      <c r="G20" s="7">
        <v>0.11098493238117001</v>
      </c>
      <c r="H20" s="8">
        <v>-0.26419999999999999</v>
      </c>
      <c r="I20" s="6" t="s">
        <v>14</v>
      </c>
      <c r="J20" s="8">
        <v>7.0000000000000001E-3</v>
      </c>
      <c r="K20" s="32">
        <v>0.19500000000000001</v>
      </c>
      <c r="L20" s="22"/>
      <c r="M20" s="23"/>
      <c r="N20" s="23"/>
      <c r="O20" s="23"/>
      <c r="P20" s="24"/>
    </row>
    <row r="21" spans="1:16" ht="17" customHeight="1">
      <c r="A21" s="5" t="s">
        <v>37</v>
      </c>
      <c r="B21" s="6" t="s">
        <v>38</v>
      </c>
      <c r="C21" s="6" t="s">
        <v>13</v>
      </c>
      <c r="D21" s="7">
        <v>0.103476412517763</v>
      </c>
      <c r="E21" s="7">
        <v>0.129401453937497</v>
      </c>
      <c r="F21" s="7">
        <v>0.97152609598648598</v>
      </c>
      <c r="G21" s="7">
        <v>0.10914171414933201</v>
      </c>
      <c r="H21" s="8">
        <v>0.25340000000000001</v>
      </c>
      <c r="I21" s="6" t="s">
        <v>14</v>
      </c>
      <c r="J21" s="8">
        <v>7.0000000000000001E-3</v>
      </c>
      <c r="K21" s="32">
        <v>0.17899999999999999</v>
      </c>
      <c r="L21" s="22"/>
      <c r="M21" s="23"/>
      <c r="N21" s="23"/>
      <c r="O21" s="23"/>
      <c r="P21" s="24"/>
    </row>
    <row r="22" spans="1:16" ht="17" customHeight="1">
      <c r="A22" s="5" t="s">
        <v>37</v>
      </c>
      <c r="B22" s="6" t="s">
        <v>38</v>
      </c>
      <c r="C22" s="6" t="s">
        <v>19</v>
      </c>
      <c r="D22" s="7">
        <v>8.15257072346324E-2</v>
      </c>
      <c r="E22" s="7">
        <v>0.13029922319710099</v>
      </c>
      <c r="F22" s="7">
        <v>1.0033158167963001</v>
      </c>
      <c r="G22" s="7">
        <v>0.12728580269945799</v>
      </c>
      <c r="H22" s="8">
        <v>-0.1341</v>
      </c>
      <c r="I22" s="6" t="s">
        <v>14</v>
      </c>
      <c r="J22" s="8">
        <v>7.0000000000000001E-3</v>
      </c>
      <c r="K22" s="32">
        <v>0.05</v>
      </c>
      <c r="L22" s="22"/>
      <c r="M22" s="23"/>
      <c r="N22" s="23"/>
      <c r="O22" s="23"/>
      <c r="P22" s="24"/>
    </row>
    <row r="23" spans="1:16" ht="17" customHeight="1">
      <c r="A23" s="5" t="s">
        <v>37</v>
      </c>
      <c r="B23" s="6" t="s">
        <v>38</v>
      </c>
      <c r="C23" s="6" t="s">
        <v>35</v>
      </c>
      <c r="D23" s="7">
        <v>9.8935170285918E-2</v>
      </c>
      <c r="E23" s="7">
        <v>0.102633073819329</v>
      </c>
      <c r="F23" s="7">
        <v>1.01653656391903</v>
      </c>
      <c r="G23" s="7">
        <v>0.11741340093212201</v>
      </c>
      <c r="H23" s="8">
        <v>0.36830000000000002</v>
      </c>
      <c r="I23" s="6" t="s">
        <v>14</v>
      </c>
      <c r="J23" s="8">
        <v>6.0000000000000001E-3</v>
      </c>
      <c r="K23" s="32">
        <v>0.379</v>
      </c>
      <c r="L23" s="22"/>
      <c r="M23" s="23"/>
      <c r="N23" s="23"/>
      <c r="O23" s="23"/>
      <c r="P23" s="24"/>
    </row>
    <row r="24" spans="1:16" ht="17" customHeight="1">
      <c r="A24" s="26" t="s">
        <v>37</v>
      </c>
      <c r="B24" s="27" t="s">
        <v>38</v>
      </c>
      <c r="C24" s="27" t="s">
        <v>36</v>
      </c>
      <c r="D24" s="28">
        <v>0.14443014391926701</v>
      </c>
      <c r="E24" s="28">
        <v>0.104651886358261</v>
      </c>
      <c r="F24" s="28">
        <v>1.0300673438990899</v>
      </c>
      <c r="G24" s="28">
        <v>0.126639189364223</v>
      </c>
      <c r="H24" s="29">
        <v>-6.9999999999999999E-4</v>
      </c>
      <c r="I24" s="23"/>
      <c r="J24" s="29">
        <v>8.0000000000000002E-3</v>
      </c>
      <c r="K24" s="31">
        <v>0</v>
      </c>
      <c r="L24" s="22"/>
      <c r="M24" s="23"/>
      <c r="N24" s="23"/>
      <c r="O24" s="23"/>
      <c r="P24" s="24"/>
    </row>
    <row r="25" spans="1:16" ht="17" customHeight="1">
      <c r="A25" s="26" t="s">
        <v>37</v>
      </c>
      <c r="B25" s="27" t="s">
        <v>38</v>
      </c>
      <c r="C25" s="27" t="s">
        <v>63</v>
      </c>
      <c r="D25" s="28">
        <v>1.61614994514565E-2</v>
      </c>
      <c r="E25" s="28">
        <v>0.10377927715429899</v>
      </c>
      <c r="F25" s="28">
        <v>1.16617657451576</v>
      </c>
      <c r="G25" s="28">
        <v>0.12627267886226601</v>
      </c>
      <c r="H25" s="29">
        <v>-3.7000000000000002E-3</v>
      </c>
      <c r="I25" s="23"/>
      <c r="J25" s="29">
        <v>8.0000000000000002E-3</v>
      </c>
      <c r="K25" s="31">
        <v>0</v>
      </c>
      <c r="L25" s="22"/>
      <c r="M25" s="23"/>
      <c r="N25" s="23"/>
      <c r="O25" s="23"/>
      <c r="P25" s="24"/>
    </row>
    <row r="26" spans="1:16" ht="17" customHeight="1">
      <c r="A26" s="26" t="s">
        <v>39</v>
      </c>
      <c r="B26" s="27" t="s">
        <v>40</v>
      </c>
      <c r="C26" s="27" t="s">
        <v>33</v>
      </c>
      <c r="D26" s="28">
        <v>7.8489122200160494E-2</v>
      </c>
      <c r="E26" s="28">
        <v>0.11013739072616401</v>
      </c>
      <c r="F26" s="28">
        <v>0.96118280828701796</v>
      </c>
      <c r="G26" s="28">
        <v>0.12943175579027399</v>
      </c>
      <c r="H26" s="29">
        <v>-2.9999999999999997E-4</v>
      </c>
      <c r="I26" s="23"/>
      <c r="J26" s="29">
        <v>8.0000000000000002E-3</v>
      </c>
      <c r="K26" s="31">
        <v>0</v>
      </c>
      <c r="L26" s="22"/>
      <c r="M26" s="23"/>
      <c r="N26" s="23"/>
      <c r="O26" s="23"/>
      <c r="P26" s="24"/>
    </row>
    <row r="27" spans="1:16" ht="17" customHeight="1">
      <c r="A27" s="5" t="s">
        <v>39</v>
      </c>
      <c r="B27" s="6" t="s">
        <v>40</v>
      </c>
      <c r="C27" s="6" t="s">
        <v>34</v>
      </c>
      <c r="D27" s="7">
        <v>7.4000489351135304E-2</v>
      </c>
      <c r="E27" s="7">
        <v>0.14033952050551701</v>
      </c>
      <c r="F27" s="7">
        <v>1.0633112279133601</v>
      </c>
      <c r="G27" s="7">
        <v>0.121700029892068</v>
      </c>
      <c r="H27" s="8">
        <v>-0.2641</v>
      </c>
      <c r="I27" s="6" t="s">
        <v>14</v>
      </c>
      <c r="J27" s="8">
        <v>7.0000000000000001E-3</v>
      </c>
      <c r="K27" s="32">
        <v>0.19500000000000001</v>
      </c>
      <c r="L27" s="22"/>
      <c r="M27" s="23"/>
      <c r="N27" s="23"/>
      <c r="O27" s="23"/>
      <c r="P27" s="24"/>
    </row>
    <row r="28" spans="1:16" ht="17" customHeight="1">
      <c r="A28" s="5" t="s">
        <v>39</v>
      </c>
      <c r="B28" s="6" t="s">
        <v>40</v>
      </c>
      <c r="C28" s="6" t="s">
        <v>13</v>
      </c>
      <c r="D28" s="7">
        <v>0.103274442425367</v>
      </c>
      <c r="E28" s="7">
        <v>0.14270609738833601</v>
      </c>
      <c r="F28" s="7">
        <v>0.97087402088604402</v>
      </c>
      <c r="G28" s="7">
        <v>0.114579193233285</v>
      </c>
      <c r="H28" s="8">
        <v>0.25330000000000003</v>
      </c>
      <c r="I28" s="6" t="s">
        <v>14</v>
      </c>
      <c r="J28" s="8">
        <v>7.0000000000000001E-3</v>
      </c>
      <c r="K28" s="32">
        <v>0.17899999999999999</v>
      </c>
      <c r="L28" s="22"/>
      <c r="M28" s="23"/>
      <c r="N28" s="23"/>
      <c r="O28" s="23"/>
      <c r="P28" s="24"/>
    </row>
    <row r="29" spans="1:16" ht="17" customHeight="1">
      <c r="A29" s="5" t="s">
        <v>39</v>
      </c>
      <c r="B29" s="6" t="s">
        <v>40</v>
      </c>
      <c r="C29" s="6" t="s">
        <v>19</v>
      </c>
      <c r="D29" s="7">
        <v>8.1735463972185798E-2</v>
      </c>
      <c r="E29" s="7">
        <v>0.129000502605951</v>
      </c>
      <c r="F29" s="7">
        <v>1.00290669580491</v>
      </c>
      <c r="G29" s="7">
        <v>0.12277306783549601</v>
      </c>
      <c r="H29" s="25">
        <v>-0.13400000000000001</v>
      </c>
      <c r="I29" s="6" t="s">
        <v>14</v>
      </c>
      <c r="J29" s="8">
        <v>7.0000000000000001E-3</v>
      </c>
      <c r="K29" s="32">
        <v>0.05</v>
      </c>
      <c r="L29" s="22"/>
      <c r="M29" s="23"/>
      <c r="N29" s="23"/>
      <c r="O29" s="23"/>
      <c r="P29" s="24"/>
    </row>
    <row r="30" spans="1:16" ht="17" customHeight="1">
      <c r="A30" s="5" t="s">
        <v>39</v>
      </c>
      <c r="B30" s="6" t="s">
        <v>40</v>
      </c>
      <c r="C30" s="6" t="s">
        <v>35</v>
      </c>
      <c r="D30" s="7">
        <v>9.8715705401800094E-2</v>
      </c>
      <c r="E30" s="7">
        <v>0.121379290688236</v>
      </c>
      <c r="F30" s="7">
        <v>1.0160891176328199</v>
      </c>
      <c r="G30" s="7">
        <v>0.128727050092555</v>
      </c>
      <c r="H30" s="8">
        <v>0.36840000000000001</v>
      </c>
      <c r="I30" s="6" t="s">
        <v>14</v>
      </c>
      <c r="J30" s="8">
        <v>6.0000000000000001E-3</v>
      </c>
      <c r="K30" s="32">
        <v>0.379</v>
      </c>
      <c r="L30" s="22"/>
      <c r="M30" s="23"/>
      <c r="N30" s="23"/>
      <c r="O30" s="23"/>
      <c r="P30" s="24"/>
    </row>
    <row r="31" spans="1:16" ht="17" customHeight="1">
      <c r="A31" s="26" t="s">
        <v>39</v>
      </c>
      <c r="B31" s="27" t="s">
        <v>40</v>
      </c>
      <c r="C31" s="27" t="s">
        <v>36</v>
      </c>
      <c r="D31" s="28">
        <v>6.9020195556900907E-2</v>
      </c>
      <c r="E31" s="28">
        <v>0.13042302310187401</v>
      </c>
      <c r="F31" s="28">
        <v>0.99629130890599304</v>
      </c>
      <c r="G31" s="28">
        <v>0.11307303244835699</v>
      </c>
      <c r="H31" s="29">
        <v>-8.0000000000000004E-4</v>
      </c>
      <c r="I31" s="23"/>
      <c r="J31" s="29">
        <v>8.0000000000000002E-3</v>
      </c>
      <c r="K31" s="31">
        <v>0</v>
      </c>
      <c r="L31" s="22"/>
      <c r="M31" s="23"/>
      <c r="N31" s="23"/>
      <c r="O31" s="23"/>
      <c r="P31" s="24"/>
    </row>
    <row r="32" spans="1:16" ht="17" customHeight="1">
      <c r="A32" s="26" t="s">
        <v>39</v>
      </c>
      <c r="B32" s="27" t="s">
        <v>40</v>
      </c>
      <c r="C32" s="27" t="s">
        <v>63</v>
      </c>
      <c r="D32" s="28">
        <v>0.14483325021632901</v>
      </c>
      <c r="E32" s="28">
        <v>0.124935592452463</v>
      </c>
      <c r="F32" s="28">
        <v>1.0295842726453299</v>
      </c>
      <c r="G32" s="28">
        <v>0.11612469286527199</v>
      </c>
      <c r="H32" s="29">
        <v>-3.7000000000000002E-3</v>
      </c>
      <c r="I32" s="23"/>
      <c r="J32" s="29">
        <v>8.0000000000000002E-3</v>
      </c>
      <c r="K32" s="31">
        <v>0</v>
      </c>
      <c r="L32" s="22"/>
      <c r="M32" s="23"/>
      <c r="N32" s="23"/>
      <c r="O32" s="23"/>
      <c r="P32" s="24"/>
    </row>
    <row r="33" spans="1:16" ht="17" customHeight="1">
      <c r="A33" s="5" t="s">
        <v>41</v>
      </c>
      <c r="B33" s="6" t="s">
        <v>42</v>
      </c>
      <c r="C33" s="6" t="s">
        <v>13</v>
      </c>
      <c r="D33" s="7">
        <v>8.8626891356034507E-2</v>
      </c>
      <c r="E33" s="7">
        <v>9.39340265899027E-2</v>
      </c>
      <c r="F33" s="7">
        <v>1.03920503831386</v>
      </c>
      <c r="G33" s="7">
        <v>0.147710717668182</v>
      </c>
      <c r="H33" s="8">
        <v>-4.0000000000000002E-4</v>
      </c>
      <c r="I33" s="6" t="s">
        <v>14</v>
      </c>
      <c r="J33" s="21">
        <v>0</v>
      </c>
      <c r="K33" s="32">
        <v>1.7999999999999999E-2</v>
      </c>
      <c r="L33" s="22"/>
      <c r="M33" s="23"/>
      <c r="N33" s="23"/>
      <c r="O33" s="23"/>
      <c r="P33" s="24"/>
    </row>
    <row r="34" spans="1:16" ht="17" customHeight="1">
      <c r="A34" s="5" t="s">
        <v>41</v>
      </c>
      <c r="B34" s="6" t="s">
        <v>42</v>
      </c>
      <c r="C34" s="6" t="s">
        <v>19</v>
      </c>
      <c r="D34" s="7">
        <v>8.6062479443555606E-2</v>
      </c>
      <c r="E34" s="7">
        <v>0.10580109941926</v>
      </c>
      <c r="F34" s="7">
        <v>1.0030029764635899</v>
      </c>
      <c r="G34" s="7">
        <v>0.15807223065555001</v>
      </c>
      <c r="H34" s="8">
        <v>1E-4</v>
      </c>
      <c r="I34" s="6" t="s">
        <v>14</v>
      </c>
      <c r="J34" s="21">
        <v>0</v>
      </c>
      <c r="K34" s="32">
        <v>3.0000000000000001E-3</v>
      </c>
      <c r="L34" s="22"/>
      <c r="M34" s="23"/>
      <c r="N34" s="23"/>
      <c r="O34" s="23"/>
      <c r="P34" s="24"/>
    </row>
    <row r="35" spans="1:16" ht="17" customHeight="1">
      <c r="A35" s="5" t="s">
        <v>43</v>
      </c>
      <c r="B35" s="6" t="s">
        <v>44</v>
      </c>
      <c r="C35" s="6" t="s">
        <v>13</v>
      </c>
      <c r="D35" s="7">
        <v>7.1614313421992495E-2</v>
      </c>
      <c r="E35" s="7">
        <v>0.11975921026986899</v>
      </c>
      <c r="F35" s="7">
        <v>1.06958106900201</v>
      </c>
      <c r="G35" s="7">
        <v>0.157526504458149</v>
      </c>
      <c r="H35" s="8">
        <v>8.9999999999999998E-4</v>
      </c>
      <c r="I35" s="6" t="s">
        <v>14</v>
      </c>
      <c r="J35" s="21">
        <v>0</v>
      </c>
      <c r="K35" s="32">
        <v>1.6E-2</v>
      </c>
      <c r="L35" s="22"/>
      <c r="M35" s="23"/>
      <c r="N35" s="23"/>
      <c r="O35" s="23"/>
      <c r="P35" s="24"/>
    </row>
    <row r="36" spans="1:16" ht="17" customHeight="1">
      <c r="A36" s="5" t="s">
        <v>43</v>
      </c>
      <c r="B36" s="6" t="s">
        <v>44</v>
      </c>
      <c r="C36" s="6" t="s">
        <v>19</v>
      </c>
      <c r="D36" s="7">
        <v>8.4879140507217593E-2</v>
      </c>
      <c r="E36" s="7">
        <v>0.132348420427677</v>
      </c>
      <c r="F36" s="7">
        <v>1.0268571154832999</v>
      </c>
      <c r="G36" s="7">
        <v>0.12802236271219999</v>
      </c>
      <c r="H36" s="8">
        <v>-2.9999999999999997E-4</v>
      </c>
      <c r="I36" s="6" t="s">
        <v>23</v>
      </c>
      <c r="J36" s="21">
        <v>0</v>
      </c>
      <c r="K36" s="32">
        <v>2E-3</v>
      </c>
      <c r="L36" s="22"/>
      <c r="M36" s="23"/>
      <c r="N36" s="23"/>
      <c r="O36" s="23"/>
      <c r="P36" s="24"/>
    </row>
    <row r="37" spans="1:16" ht="17" customHeight="1">
      <c r="A37" s="5" t="s">
        <v>45</v>
      </c>
      <c r="B37" s="6" t="s">
        <v>46</v>
      </c>
      <c r="C37" s="6" t="s">
        <v>34</v>
      </c>
      <c r="D37" s="7">
        <v>0.103200578428367</v>
      </c>
      <c r="E37" s="7">
        <v>0.11417358047272</v>
      </c>
      <c r="F37" s="7">
        <v>0.99092692245922998</v>
      </c>
      <c r="G37" s="7">
        <v>0.18504792442786699</v>
      </c>
      <c r="H37" s="25">
        <v>0</v>
      </c>
      <c r="I37" s="6" t="s">
        <v>28</v>
      </c>
      <c r="J37" s="21">
        <v>0</v>
      </c>
      <c r="K37" s="32">
        <v>1E-3</v>
      </c>
      <c r="L37" s="22"/>
      <c r="M37" s="23"/>
      <c r="N37" s="23"/>
      <c r="O37" s="23"/>
      <c r="P37" s="24"/>
    </row>
    <row r="38" spans="1:16" ht="17" customHeight="1">
      <c r="A38" s="5" t="s">
        <v>45</v>
      </c>
      <c r="B38" s="6" t="s">
        <v>46</v>
      </c>
      <c r="C38" s="6" t="s">
        <v>13</v>
      </c>
      <c r="D38" s="7">
        <v>0.118002091775219</v>
      </c>
      <c r="E38" s="7">
        <v>0.121903270490793</v>
      </c>
      <c r="F38" s="7">
        <v>1.12007605485354</v>
      </c>
      <c r="G38" s="7">
        <v>0.20000561522332599</v>
      </c>
      <c r="H38" s="8">
        <v>-1E-4</v>
      </c>
      <c r="I38" s="6" t="s">
        <v>14</v>
      </c>
      <c r="J38" s="21">
        <v>0</v>
      </c>
      <c r="K38" s="9">
        <v>8.9999999999999993E-3</v>
      </c>
      <c r="L38" s="22"/>
      <c r="M38" s="23"/>
      <c r="N38" s="23"/>
      <c r="O38" s="23"/>
      <c r="P38" s="24"/>
    </row>
    <row r="39" spans="1:16" ht="17" customHeight="1">
      <c r="A39" s="26" t="s">
        <v>45</v>
      </c>
      <c r="B39" s="27" t="s">
        <v>46</v>
      </c>
      <c r="C39" s="27" t="s">
        <v>19</v>
      </c>
      <c r="D39" s="28">
        <v>0.198003252378258</v>
      </c>
      <c r="E39" s="28">
        <v>0.120181735802337</v>
      </c>
      <c r="F39" s="28">
        <v>0.95898308988094405</v>
      </c>
      <c r="G39" s="28">
        <v>0.17396843872638901</v>
      </c>
      <c r="H39" s="33">
        <v>0</v>
      </c>
      <c r="I39" s="27" t="s">
        <v>47</v>
      </c>
      <c r="J39" s="30">
        <v>0</v>
      </c>
      <c r="K39" s="31">
        <v>0</v>
      </c>
      <c r="L39" s="22"/>
      <c r="M39" s="23"/>
      <c r="N39" s="23"/>
      <c r="O39" s="23"/>
      <c r="P39" s="24"/>
    </row>
    <row r="40" spans="1:16" ht="17" customHeight="1">
      <c r="A40" s="5" t="s">
        <v>48</v>
      </c>
      <c r="B40" s="6" t="s">
        <v>49</v>
      </c>
      <c r="C40" s="6" t="s">
        <v>13</v>
      </c>
      <c r="D40" s="7">
        <v>8.0389362752440893E-2</v>
      </c>
      <c r="E40" s="7">
        <v>0.13965179462930599</v>
      </c>
      <c r="F40" s="7">
        <v>1.0479921902131</v>
      </c>
      <c r="G40" s="7">
        <v>0.17742702863566301</v>
      </c>
      <c r="H40" s="8">
        <v>4.0000000000000002E-4</v>
      </c>
      <c r="I40" s="6" t="s">
        <v>14</v>
      </c>
      <c r="J40" s="21">
        <v>0</v>
      </c>
      <c r="K40" s="9">
        <v>1.6E-2</v>
      </c>
      <c r="L40" s="22"/>
      <c r="M40" s="23"/>
      <c r="N40" s="23"/>
      <c r="O40" s="23"/>
      <c r="P40" s="24"/>
    </row>
    <row r="41" spans="1:16" ht="17" customHeight="1">
      <c r="A41" s="5" t="s">
        <v>48</v>
      </c>
      <c r="B41" s="6" t="s">
        <v>49</v>
      </c>
      <c r="C41" s="6" t="s">
        <v>19</v>
      </c>
      <c r="D41" s="7">
        <v>5.2029735383253499E-2</v>
      </c>
      <c r="E41" s="7">
        <v>0.119086858787598</v>
      </c>
      <c r="F41" s="7">
        <v>1.00807813256345</v>
      </c>
      <c r="G41" s="7">
        <v>0.143783763859203</v>
      </c>
      <c r="H41" s="8">
        <v>-2.0000000000000001E-4</v>
      </c>
      <c r="I41" s="6" t="s">
        <v>14</v>
      </c>
      <c r="J41" s="21">
        <v>0</v>
      </c>
      <c r="K41" s="9">
        <v>3.0000000000000001E-3</v>
      </c>
      <c r="L41" s="22"/>
      <c r="M41" s="23"/>
      <c r="N41" s="23"/>
      <c r="O41" s="23"/>
      <c r="P41" s="24"/>
    </row>
    <row r="42" spans="1:16" ht="17" customHeight="1">
      <c r="A42" s="5" t="s">
        <v>50</v>
      </c>
      <c r="B42" s="6" t="s">
        <v>51</v>
      </c>
      <c r="C42" s="6" t="s">
        <v>13</v>
      </c>
      <c r="D42" s="7">
        <v>7.5992630780624501E-2</v>
      </c>
      <c r="E42" s="7">
        <v>0.10059243900992</v>
      </c>
      <c r="F42" s="7">
        <v>1.0710297490656899</v>
      </c>
      <c r="G42" s="7">
        <v>0.22903923412104299</v>
      </c>
      <c r="H42" s="8">
        <v>-1E-4</v>
      </c>
      <c r="I42" s="6" t="s">
        <v>14</v>
      </c>
      <c r="J42" s="21">
        <v>0</v>
      </c>
      <c r="K42" s="9">
        <v>7.0000000000000001E-3</v>
      </c>
      <c r="L42" s="22"/>
      <c r="M42" s="23"/>
      <c r="N42" s="23"/>
      <c r="O42" s="23"/>
      <c r="P42" s="24"/>
    </row>
    <row r="43" spans="1:16" ht="17" customHeight="1">
      <c r="A43" s="34" t="s">
        <v>50</v>
      </c>
      <c r="B43" s="35" t="s">
        <v>51</v>
      </c>
      <c r="C43" s="35" t="s">
        <v>19</v>
      </c>
      <c r="D43" s="36">
        <v>0.114115223389369</v>
      </c>
      <c r="E43" s="36">
        <v>0.12048882304225</v>
      </c>
      <c r="F43" s="36">
        <v>1.0442018131436399</v>
      </c>
      <c r="G43" s="36">
        <v>0.21418650484952001</v>
      </c>
      <c r="H43" s="37">
        <v>0</v>
      </c>
      <c r="I43" s="35" t="s">
        <v>28</v>
      </c>
      <c r="J43" s="38">
        <v>0</v>
      </c>
      <c r="K43" s="39">
        <v>1E-3</v>
      </c>
      <c r="L43" s="22"/>
      <c r="M43" s="23"/>
      <c r="N43" s="23"/>
      <c r="O43" s="23"/>
      <c r="P43" s="24"/>
    </row>
    <row r="44" spans="1:16" ht="17" customHeight="1">
      <c r="A44" s="40"/>
      <c r="B44" s="41"/>
      <c r="C44" s="41"/>
      <c r="D44" s="42"/>
      <c r="E44" s="42"/>
      <c r="F44" s="42"/>
      <c r="G44" s="42"/>
      <c r="H44" s="41"/>
      <c r="I44" s="41"/>
      <c r="J44" s="43"/>
      <c r="K44" s="43"/>
      <c r="L44" s="44"/>
      <c r="M44" s="44"/>
      <c r="N44" s="44"/>
      <c r="O44" s="44"/>
      <c r="P44" s="45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1"/>
  <sheetViews>
    <sheetView showGridLines="0" tabSelected="1" workbookViewId="0">
      <selection activeCell="C65" sqref="C65"/>
    </sheetView>
  </sheetViews>
  <sheetFormatPr baseColWidth="10" defaultColWidth="10.83203125" defaultRowHeight="16" customHeight="1"/>
  <cols>
    <col min="1" max="1" width="18" style="1" customWidth="1"/>
    <col min="2" max="2" width="12.33203125" style="1" customWidth="1"/>
    <col min="3" max="3" width="20.6640625" style="1" customWidth="1"/>
    <col min="4" max="4" width="21.83203125" style="1" customWidth="1"/>
    <col min="5" max="5" width="20.6640625" style="1" customWidth="1"/>
    <col min="6" max="6" width="21.6640625" style="1" customWidth="1"/>
    <col min="7" max="7" width="13" style="29" customWidth="1"/>
    <col min="8" max="9" width="10.83203125" style="29" customWidth="1"/>
    <col min="10" max="10" width="10.83203125" style="1" customWidth="1"/>
    <col min="11" max="16384" width="10.83203125" style="1"/>
  </cols>
  <sheetData>
    <row r="1" spans="1:9" ht="17" customHeight="1">
      <c r="A1" s="47" t="s">
        <v>52</v>
      </c>
      <c r="B1" s="48" t="s">
        <v>53</v>
      </c>
      <c r="C1" s="48" t="s">
        <v>54</v>
      </c>
      <c r="D1" s="48" t="s">
        <v>55</v>
      </c>
      <c r="E1" s="48" t="s">
        <v>56</v>
      </c>
      <c r="F1" s="48" t="s">
        <v>57</v>
      </c>
      <c r="G1" s="49" t="s">
        <v>58</v>
      </c>
      <c r="H1" s="23"/>
      <c r="I1" s="27" t="s">
        <v>59</v>
      </c>
    </row>
    <row r="2" spans="1:9" ht="17" hidden="1" customHeight="1">
      <c r="A2" s="27" t="s">
        <v>60</v>
      </c>
      <c r="B2" s="27" t="s">
        <v>61</v>
      </c>
      <c r="C2" s="29">
        <v>-1.2912011540298E-2</v>
      </c>
      <c r="D2" s="29">
        <v>0.122542394388284</v>
      </c>
      <c r="E2" s="29">
        <v>1.01469548037569</v>
      </c>
      <c r="F2" s="29">
        <v>0.10837814608619201</v>
      </c>
      <c r="G2" s="27" t="str">
        <f t="shared" ref="G2:G33" si="0">IF(C2:C2&gt;=0.05,1,"")</f>
        <v/>
      </c>
      <c r="H2" s="23"/>
      <c r="I2" s="23"/>
    </row>
    <row r="3" spans="1:9" ht="17" hidden="1" customHeight="1">
      <c r="A3" s="27" t="s">
        <v>60</v>
      </c>
      <c r="B3" s="27" t="s">
        <v>33</v>
      </c>
      <c r="C3" s="29">
        <v>-1.00893393383136E-2</v>
      </c>
      <c r="D3" s="29">
        <v>9.7106609315468301E-2</v>
      </c>
      <c r="E3" s="29">
        <v>0.93976577606872103</v>
      </c>
      <c r="F3" s="29">
        <v>9.1928877195454506E-2</v>
      </c>
      <c r="G3" s="27" t="str">
        <f t="shared" si="0"/>
        <v/>
      </c>
      <c r="H3" s="23"/>
      <c r="I3" s="23"/>
    </row>
    <row r="4" spans="1:9" ht="17" hidden="1" customHeight="1">
      <c r="A4" s="27" t="s">
        <v>60</v>
      </c>
      <c r="B4" s="27" t="s">
        <v>34</v>
      </c>
      <c r="C4" s="29">
        <v>-5.8982627824528899E-2</v>
      </c>
      <c r="D4" s="29">
        <v>0.105187908020722</v>
      </c>
      <c r="E4" s="29">
        <v>1.0064951582522199</v>
      </c>
      <c r="F4" s="29">
        <v>0.111656664988683</v>
      </c>
      <c r="G4" s="27" t="str">
        <f t="shared" si="0"/>
        <v/>
      </c>
      <c r="H4" s="23"/>
      <c r="I4" s="23"/>
    </row>
    <row r="5" spans="1:9" ht="17" hidden="1" customHeight="1">
      <c r="A5" s="27" t="s">
        <v>60</v>
      </c>
      <c r="B5" s="27" t="s">
        <v>13</v>
      </c>
      <c r="C5" s="29">
        <v>-4.2597251269883202E-2</v>
      </c>
      <c r="D5" s="29">
        <v>0.109681614901684</v>
      </c>
      <c r="E5" s="29">
        <v>1.00334680596543</v>
      </c>
      <c r="F5" s="29">
        <v>0.112804856887707</v>
      </c>
      <c r="G5" s="27" t="str">
        <f t="shared" si="0"/>
        <v/>
      </c>
      <c r="H5" s="23"/>
      <c r="I5" s="23"/>
    </row>
    <row r="6" spans="1:9" ht="17" hidden="1" customHeight="1">
      <c r="A6" s="27" t="s">
        <v>60</v>
      </c>
      <c r="B6" s="27" t="s">
        <v>19</v>
      </c>
      <c r="C6" s="29">
        <v>-3.33478934889197E-2</v>
      </c>
      <c r="D6" s="29">
        <v>0.112958710766749</v>
      </c>
      <c r="E6" s="29">
        <v>0.98087656095458498</v>
      </c>
      <c r="F6" s="29">
        <v>9.1764432669582605E-2</v>
      </c>
      <c r="G6" s="27" t="str">
        <f t="shared" si="0"/>
        <v/>
      </c>
      <c r="H6" s="23"/>
      <c r="I6" s="23"/>
    </row>
    <row r="7" spans="1:9" ht="17" hidden="1" customHeight="1">
      <c r="A7" s="27" t="s">
        <v>60</v>
      </c>
      <c r="B7" s="27" t="s">
        <v>35</v>
      </c>
      <c r="C7" s="29">
        <v>-1.0761247784971501E-2</v>
      </c>
      <c r="D7" s="29">
        <v>0.12089470207745</v>
      </c>
      <c r="E7" s="29">
        <v>1.0656468762064299</v>
      </c>
      <c r="F7" s="29">
        <v>0.106245787565641</v>
      </c>
      <c r="G7" s="27" t="str">
        <f t="shared" si="0"/>
        <v/>
      </c>
      <c r="H7" s="23"/>
      <c r="I7" s="23"/>
    </row>
    <row r="8" spans="1:9" ht="17" hidden="1" customHeight="1">
      <c r="A8" s="27" t="s">
        <v>60</v>
      </c>
      <c r="B8" s="27" t="s">
        <v>62</v>
      </c>
      <c r="C8" s="29">
        <v>-1.11974989641082E-2</v>
      </c>
      <c r="D8" s="29">
        <v>0.12600783801811599</v>
      </c>
      <c r="E8" s="29">
        <v>0.98919352340808298</v>
      </c>
      <c r="F8" s="29">
        <v>0.113525533590041</v>
      </c>
      <c r="G8" s="27" t="str">
        <f t="shared" si="0"/>
        <v/>
      </c>
      <c r="H8" s="23"/>
      <c r="I8" s="23"/>
    </row>
    <row r="9" spans="1:9" ht="17" hidden="1" customHeight="1">
      <c r="A9" s="27" t="s">
        <v>60</v>
      </c>
      <c r="B9" s="27" t="s">
        <v>36</v>
      </c>
      <c r="C9" s="29">
        <v>-6.8539946370131E-2</v>
      </c>
      <c r="D9" s="29">
        <v>0.128117656648888</v>
      </c>
      <c r="E9" s="29">
        <v>0.94951313498845002</v>
      </c>
      <c r="F9" s="29">
        <v>0.10330571439106501</v>
      </c>
      <c r="G9" s="27" t="str">
        <f t="shared" si="0"/>
        <v/>
      </c>
      <c r="H9" s="23"/>
      <c r="I9" s="23"/>
    </row>
    <row r="10" spans="1:9" ht="17" hidden="1" customHeight="1">
      <c r="A10" s="27" t="s">
        <v>60</v>
      </c>
      <c r="B10" s="27" t="s">
        <v>63</v>
      </c>
      <c r="C10" s="29">
        <v>-2.1548743970599402E-2</v>
      </c>
      <c r="D10" s="29">
        <v>0.115438640508958</v>
      </c>
      <c r="E10" s="29">
        <v>0.97668968146511603</v>
      </c>
      <c r="F10" s="29">
        <v>9.4470239362018801E-2</v>
      </c>
      <c r="G10" s="27" t="str">
        <f t="shared" si="0"/>
        <v/>
      </c>
      <c r="H10" s="23"/>
      <c r="I10" s="23"/>
    </row>
    <row r="11" spans="1:9" ht="17" hidden="1" customHeight="1">
      <c r="A11" s="27" t="s">
        <v>60</v>
      </c>
      <c r="B11" s="27" t="s">
        <v>64</v>
      </c>
      <c r="C11" s="29">
        <v>-1.1685407971228599E-2</v>
      </c>
      <c r="D11" s="29">
        <v>0.12561484950292701</v>
      </c>
      <c r="E11" s="29">
        <v>1.0028814519370799</v>
      </c>
      <c r="F11" s="29">
        <v>9.8622505831843996E-2</v>
      </c>
      <c r="G11" s="27" t="str">
        <f t="shared" si="0"/>
        <v/>
      </c>
      <c r="H11" s="23"/>
      <c r="I11" s="23"/>
    </row>
    <row r="12" spans="1:9" ht="17" hidden="1" customHeight="1">
      <c r="A12" s="27" t="s">
        <v>11</v>
      </c>
      <c r="B12" s="27" t="s">
        <v>61</v>
      </c>
      <c r="C12" s="29">
        <v>-1.6089408738001999E-2</v>
      </c>
      <c r="D12" s="29">
        <v>0.124119700095062</v>
      </c>
      <c r="E12" s="29">
        <v>1.0605380823700301</v>
      </c>
      <c r="F12" s="29">
        <v>0.110765729099116</v>
      </c>
      <c r="G12" s="27" t="str">
        <f t="shared" si="0"/>
        <v/>
      </c>
      <c r="H12" s="23"/>
      <c r="I12" s="23"/>
    </row>
    <row r="13" spans="1:9" ht="17" hidden="1" customHeight="1">
      <c r="A13" s="27" t="s">
        <v>11</v>
      </c>
      <c r="B13" s="27" t="s">
        <v>33</v>
      </c>
      <c r="C13" s="29">
        <v>-9.7440455936590401E-3</v>
      </c>
      <c r="D13" s="29">
        <v>0.11070438473433999</v>
      </c>
      <c r="E13" s="29">
        <v>1.01444625939009</v>
      </c>
      <c r="F13" s="29">
        <v>0.113868516292328</v>
      </c>
      <c r="G13" s="27" t="str">
        <f t="shared" si="0"/>
        <v/>
      </c>
      <c r="H13" s="23"/>
      <c r="I13" s="23"/>
    </row>
    <row r="14" spans="1:9" ht="17" hidden="1" customHeight="1">
      <c r="A14" s="27" t="s">
        <v>11</v>
      </c>
      <c r="B14" s="27" t="s">
        <v>34</v>
      </c>
      <c r="C14" s="29">
        <v>-6.6829550586064795E-2</v>
      </c>
      <c r="D14" s="29">
        <v>0.108321250771413</v>
      </c>
      <c r="E14" s="29">
        <v>1.0893784224926499</v>
      </c>
      <c r="F14" s="29">
        <v>0.1495272316773</v>
      </c>
      <c r="G14" s="27" t="str">
        <f t="shared" si="0"/>
        <v/>
      </c>
      <c r="H14" s="23"/>
      <c r="I14" s="23"/>
    </row>
    <row r="15" spans="1:9" ht="17" customHeight="1">
      <c r="A15" s="27" t="s">
        <v>11</v>
      </c>
      <c r="B15" s="27" t="s">
        <v>13</v>
      </c>
      <c r="C15" s="29">
        <v>8.2141123262740201E-2</v>
      </c>
      <c r="D15" s="29">
        <v>0.11253583545040299</v>
      </c>
      <c r="E15" s="29">
        <v>0.99462776395247599</v>
      </c>
      <c r="F15" s="29">
        <v>0.10696546304118699</v>
      </c>
      <c r="G15" s="29">
        <f t="shared" si="0"/>
        <v>1</v>
      </c>
      <c r="H15" s="23"/>
      <c r="I15" s="23"/>
    </row>
    <row r="16" spans="1:9" ht="17" hidden="1" customHeight="1">
      <c r="A16" s="27" t="s">
        <v>11</v>
      </c>
      <c r="B16" s="27" t="s">
        <v>19</v>
      </c>
      <c r="C16" s="29">
        <v>4.7178855938188199E-2</v>
      </c>
      <c r="D16" s="29">
        <v>0.124018787608783</v>
      </c>
      <c r="E16" s="29">
        <v>1.02269405694087</v>
      </c>
      <c r="F16" s="29">
        <v>0.134262687860566</v>
      </c>
      <c r="G16" s="27" t="str">
        <f t="shared" si="0"/>
        <v/>
      </c>
      <c r="H16" s="23"/>
      <c r="I16" s="23"/>
    </row>
    <row r="17" spans="1:9" ht="17" hidden="1" customHeight="1">
      <c r="A17" s="27" t="s">
        <v>11</v>
      </c>
      <c r="B17" s="27" t="s">
        <v>35</v>
      </c>
      <c r="C17" s="29">
        <v>-4.8197035024934803E-2</v>
      </c>
      <c r="D17" s="29">
        <v>0.12604060192671401</v>
      </c>
      <c r="E17" s="29">
        <v>1.03184417559761</v>
      </c>
      <c r="F17" s="29">
        <v>0.13411341426728099</v>
      </c>
      <c r="G17" s="27" t="str">
        <f t="shared" si="0"/>
        <v/>
      </c>
      <c r="H17" s="23"/>
      <c r="I17" s="23"/>
    </row>
    <row r="18" spans="1:9" ht="17" hidden="1" customHeight="1">
      <c r="A18" s="27" t="s">
        <v>11</v>
      </c>
      <c r="B18" s="27" t="s">
        <v>62</v>
      </c>
      <c r="C18" s="29">
        <v>-5.9707929525558798E-2</v>
      </c>
      <c r="D18" s="29">
        <v>0.10391520422799599</v>
      </c>
      <c r="E18" s="29">
        <v>0.92177208400839294</v>
      </c>
      <c r="F18" s="29">
        <v>0.12003444494113499</v>
      </c>
      <c r="G18" s="27" t="str">
        <f t="shared" si="0"/>
        <v/>
      </c>
      <c r="H18" s="23"/>
      <c r="I18" s="23"/>
    </row>
    <row r="19" spans="1:9" ht="17" hidden="1" customHeight="1">
      <c r="A19" s="27" t="s">
        <v>11</v>
      </c>
      <c r="B19" s="27" t="s">
        <v>36</v>
      </c>
      <c r="C19" s="29">
        <v>-5.0728662811467498E-2</v>
      </c>
      <c r="D19" s="29">
        <v>0.12718454997334</v>
      </c>
      <c r="E19" s="29">
        <v>1.0312675232820001</v>
      </c>
      <c r="F19" s="29">
        <v>0.118725805488268</v>
      </c>
      <c r="G19" s="27" t="str">
        <f t="shared" si="0"/>
        <v/>
      </c>
      <c r="H19" s="23"/>
      <c r="I19" s="23"/>
    </row>
    <row r="20" spans="1:9" ht="17" hidden="1" customHeight="1">
      <c r="A20" s="27" t="s">
        <v>11</v>
      </c>
      <c r="B20" s="27" t="s">
        <v>63</v>
      </c>
      <c r="C20" s="29">
        <v>-3.1977332296721298E-2</v>
      </c>
      <c r="D20" s="29">
        <v>0.124571521023393</v>
      </c>
      <c r="E20" s="29">
        <v>1.1265215878530299</v>
      </c>
      <c r="F20" s="29">
        <v>0.122793626392596</v>
      </c>
      <c r="G20" s="27" t="str">
        <f t="shared" si="0"/>
        <v/>
      </c>
      <c r="H20" s="23"/>
      <c r="I20" s="23"/>
    </row>
    <row r="21" spans="1:9" ht="17" hidden="1" customHeight="1">
      <c r="A21" s="27" t="s">
        <v>11</v>
      </c>
      <c r="B21" s="27" t="s">
        <v>64</v>
      </c>
      <c r="C21" s="29">
        <v>-1.35523998157169E-2</v>
      </c>
      <c r="D21" s="29">
        <v>0.10557300148365401</v>
      </c>
      <c r="E21" s="29">
        <v>1.1241268601546399</v>
      </c>
      <c r="F21" s="29">
        <v>0.135814356351245</v>
      </c>
      <c r="G21" s="27" t="str">
        <f t="shared" si="0"/>
        <v/>
      </c>
      <c r="H21" s="23"/>
      <c r="I21" s="23"/>
    </row>
    <row r="22" spans="1:9" ht="17" hidden="1" customHeight="1">
      <c r="A22" s="27" t="s">
        <v>16</v>
      </c>
      <c r="B22" s="27" t="s">
        <v>61</v>
      </c>
      <c r="C22" s="29">
        <v>4.33376022670795E-3</v>
      </c>
      <c r="D22" s="29">
        <v>0.109497826045917</v>
      </c>
      <c r="E22" s="29">
        <v>1.0397772133257199</v>
      </c>
      <c r="F22" s="29">
        <v>0.119371991813676</v>
      </c>
      <c r="G22" s="27" t="str">
        <f t="shared" si="0"/>
        <v/>
      </c>
      <c r="H22" s="23"/>
      <c r="I22" s="23"/>
    </row>
    <row r="23" spans="1:9" ht="17" hidden="1" customHeight="1">
      <c r="A23" s="27" t="s">
        <v>16</v>
      </c>
      <c r="B23" s="27" t="s">
        <v>33</v>
      </c>
      <c r="C23" s="29">
        <v>1.21255338698909E-2</v>
      </c>
      <c r="D23" s="29">
        <v>0.12537039462261401</v>
      </c>
      <c r="E23" s="29">
        <v>1.04574022654224</v>
      </c>
      <c r="F23" s="29">
        <v>0.130425505979368</v>
      </c>
      <c r="G23" s="27" t="str">
        <f t="shared" si="0"/>
        <v/>
      </c>
      <c r="H23" s="23"/>
      <c r="I23" s="23"/>
    </row>
    <row r="24" spans="1:9" ht="17" hidden="1" customHeight="1">
      <c r="A24" s="27" t="s">
        <v>16</v>
      </c>
      <c r="B24" s="27" t="s">
        <v>34</v>
      </c>
      <c r="C24" s="29">
        <v>-5.5029097853891602E-2</v>
      </c>
      <c r="D24" s="29">
        <v>0.12346511084973</v>
      </c>
      <c r="E24" s="29">
        <v>1.0817147060838199</v>
      </c>
      <c r="F24" s="29">
        <v>0.16049564384676099</v>
      </c>
      <c r="G24" s="27" t="str">
        <f t="shared" si="0"/>
        <v/>
      </c>
      <c r="H24" s="23"/>
      <c r="I24" s="23"/>
    </row>
    <row r="25" spans="1:9" ht="17" customHeight="1">
      <c r="A25" s="27" t="s">
        <v>16</v>
      </c>
      <c r="B25" s="27" t="s">
        <v>13</v>
      </c>
      <c r="C25" s="29">
        <v>0.11743216408028299</v>
      </c>
      <c r="D25" s="29">
        <v>0.117068652300858</v>
      </c>
      <c r="E25" s="29">
        <v>1.01846614548904</v>
      </c>
      <c r="F25" s="29">
        <v>0.16405216964984801</v>
      </c>
      <c r="G25" s="29">
        <f t="shared" si="0"/>
        <v>1</v>
      </c>
      <c r="H25" s="23"/>
      <c r="I25" s="23"/>
    </row>
    <row r="26" spans="1:9" ht="17" customHeight="1">
      <c r="A26" s="27" t="s">
        <v>16</v>
      </c>
      <c r="B26" s="27" t="s">
        <v>19</v>
      </c>
      <c r="C26" s="29">
        <v>8.4582024737190301E-2</v>
      </c>
      <c r="D26" s="29">
        <v>0.11594731974194</v>
      </c>
      <c r="E26" s="29">
        <v>1.0472904124786</v>
      </c>
      <c r="F26" s="29">
        <v>0.14696552763249199</v>
      </c>
      <c r="G26" s="29">
        <f t="shared" si="0"/>
        <v>1</v>
      </c>
      <c r="H26" s="23"/>
      <c r="I26" s="23"/>
    </row>
    <row r="27" spans="1:9" ht="17" hidden="1" customHeight="1">
      <c r="A27" s="27" t="s">
        <v>16</v>
      </c>
      <c r="B27" s="27" t="s">
        <v>35</v>
      </c>
      <c r="C27" s="29">
        <v>-4.3399425038355102E-2</v>
      </c>
      <c r="D27" s="29">
        <v>0.117429256228857</v>
      </c>
      <c r="E27" s="29">
        <v>1.05184770188316</v>
      </c>
      <c r="F27" s="29">
        <v>0.15704182541303899</v>
      </c>
      <c r="G27" s="27" t="str">
        <f t="shared" si="0"/>
        <v/>
      </c>
      <c r="H27" s="23"/>
      <c r="I27" s="23"/>
    </row>
    <row r="28" spans="1:9" ht="17" hidden="1" customHeight="1">
      <c r="A28" s="27" t="s">
        <v>16</v>
      </c>
      <c r="B28" s="27" t="s">
        <v>62</v>
      </c>
      <c r="C28" s="29">
        <v>-3.78202352919422E-2</v>
      </c>
      <c r="D28" s="29">
        <v>0.114474225110843</v>
      </c>
      <c r="E28" s="29">
        <v>0.95140497596586104</v>
      </c>
      <c r="F28" s="29">
        <v>0.12636439568634</v>
      </c>
      <c r="G28" s="27" t="str">
        <f t="shared" si="0"/>
        <v/>
      </c>
      <c r="H28" s="23"/>
      <c r="I28" s="23"/>
    </row>
    <row r="29" spans="1:9" ht="17" hidden="1" customHeight="1">
      <c r="A29" s="27" t="s">
        <v>16</v>
      </c>
      <c r="B29" s="27" t="s">
        <v>36</v>
      </c>
      <c r="C29" s="29">
        <v>-1.36931472073162E-2</v>
      </c>
      <c r="D29" s="29">
        <v>0.112814816630049</v>
      </c>
      <c r="E29" s="29">
        <v>1.0551719304795699</v>
      </c>
      <c r="F29" s="29">
        <v>0.162195405203373</v>
      </c>
      <c r="G29" s="27" t="str">
        <f t="shared" si="0"/>
        <v/>
      </c>
      <c r="H29" s="23"/>
      <c r="I29" s="23"/>
    </row>
    <row r="30" spans="1:9" ht="17" hidden="1" customHeight="1">
      <c r="A30" s="27" t="s">
        <v>16</v>
      </c>
      <c r="B30" s="27" t="s">
        <v>63</v>
      </c>
      <c r="C30" s="29">
        <v>-9.8124997522718305E-3</v>
      </c>
      <c r="D30" s="29">
        <v>0.13369229352665499</v>
      </c>
      <c r="E30" s="29">
        <v>1.10787482691588</v>
      </c>
      <c r="F30" s="29">
        <v>0.14463223903577699</v>
      </c>
      <c r="G30" s="27" t="str">
        <f t="shared" si="0"/>
        <v/>
      </c>
      <c r="H30" s="23"/>
      <c r="I30" s="23"/>
    </row>
    <row r="31" spans="1:9" ht="17" hidden="1" customHeight="1">
      <c r="A31" s="27" t="s">
        <v>16</v>
      </c>
      <c r="B31" s="27" t="s">
        <v>64</v>
      </c>
      <c r="C31" s="29">
        <v>1.8128795804573002E-2</v>
      </c>
      <c r="D31" s="29">
        <v>0.115376511155786</v>
      </c>
      <c r="E31" s="29">
        <v>1.1477549230171</v>
      </c>
      <c r="F31" s="29">
        <v>0.166721055921036</v>
      </c>
      <c r="G31" s="27" t="str">
        <f t="shared" si="0"/>
        <v/>
      </c>
      <c r="H31" s="23"/>
      <c r="I31" s="23"/>
    </row>
    <row r="32" spans="1:9" ht="17" hidden="1" customHeight="1">
      <c r="A32" s="27" t="s">
        <v>21</v>
      </c>
      <c r="B32" s="27" t="s">
        <v>61</v>
      </c>
      <c r="C32" s="29">
        <v>-2.4971994311488901E-2</v>
      </c>
      <c r="D32" s="29">
        <v>0.12507756909051501</v>
      </c>
      <c r="E32" s="29">
        <v>1.1041083120595501</v>
      </c>
      <c r="F32" s="29">
        <v>0.13096603028929699</v>
      </c>
      <c r="G32" s="27" t="str">
        <f t="shared" si="0"/>
        <v/>
      </c>
      <c r="H32" s="23"/>
      <c r="I32" s="23"/>
    </row>
    <row r="33" spans="1:9" ht="17" hidden="1" customHeight="1">
      <c r="A33" s="27" t="s">
        <v>21</v>
      </c>
      <c r="B33" s="27" t="s">
        <v>33</v>
      </c>
      <c r="C33" s="29">
        <v>7.7412583714562199E-3</v>
      </c>
      <c r="D33" s="29">
        <v>0.12662587813349199</v>
      </c>
      <c r="E33" s="29">
        <v>0.99400996118263496</v>
      </c>
      <c r="F33" s="29">
        <v>0.13289441547151201</v>
      </c>
      <c r="G33" s="27" t="str">
        <f t="shared" si="0"/>
        <v/>
      </c>
      <c r="H33" s="23"/>
      <c r="I33" s="23"/>
    </row>
    <row r="34" spans="1:9" ht="17" hidden="1" customHeight="1">
      <c r="A34" s="27" t="s">
        <v>21</v>
      </c>
      <c r="B34" s="27" t="s">
        <v>34</v>
      </c>
      <c r="C34" s="29">
        <v>-8.4698167945405897E-2</v>
      </c>
      <c r="D34" s="29">
        <v>0.111233683849467</v>
      </c>
      <c r="E34" s="29">
        <v>1.11075782604298</v>
      </c>
      <c r="F34" s="29">
        <v>0.14049407537136699</v>
      </c>
      <c r="G34" s="27" t="str">
        <f t="shared" ref="G34:G65" si="1">IF(C34:C34&gt;=0.05,1,"")</f>
        <v/>
      </c>
      <c r="H34" s="23"/>
      <c r="I34" s="23"/>
    </row>
    <row r="35" spans="1:9" ht="17" customHeight="1">
      <c r="A35" s="27" t="s">
        <v>21</v>
      </c>
      <c r="B35" s="27" t="s">
        <v>13</v>
      </c>
      <c r="C35" s="29">
        <v>5.79125427177394E-2</v>
      </c>
      <c r="D35" s="29">
        <v>0.110815559896176</v>
      </c>
      <c r="E35" s="29">
        <v>1.0390834251680601</v>
      </c>
      <c r="F35" s="29">
        <v>0.13204147806097799</v>
      </c>
      <c r="G35" s="29">
        <f t="shared" si="1"/>
        <v>1</v>
      </c>
      <c r="H35" s="23"/>
      <c r="I35" s="23"/>
    </row>
    <row r="36" spans="1:9" ht="17" hidden="1" customHeight="1">
      <c r="A36" s="27" t="s">
        <v>21</v>
      </c>
      <c r="B36" s="27" t="s">
        <v>19</v>
      </c>
      <c r="C36" s="29">
        <v>-3.3141189131565801E-2</v>
      </c>
      <c r="D36" s="29">
        <v>0.11594647002696799</v>
      </c>
      <c r="E36" s="29">
        <v>1.0106961367157199</v>
      </c>
      <c r="F36" s="29">
        <v>0.13080415378112001</v>
      </c>
      <c r="G36" s="27" t="str">
        <f t="shared" si="1"/>
        <v/>
      </c>
      <c r="H36" s="23"/>
      <c r="I36" s="23"/>
    </row>
    <row r="37" spans="1:9" ht="17" hidden="1" customHeight="1">
      <c r="A37" s="27" t="s">
        <v>21</v>
      </c>
      <c r="B37" s="27" t="s">
        <v>35</v>
      </c>
      <c r="C37" s="29">
        <v>-8.3569210656529905E-2</v>
      </c>
      <c r="D37" s="29">
        <v>0.113905940268518</v>
      </c>
      <c r="E37" s="29">
        <v>1.0534186464505499</v>
      </c>
      <c r="F37" s="29">
        <v>0.11633227134802</v>
      </c>
      <c r="G37" s="27" t="str">
        <f t="shared" si="1"/>
        <v/>
      </c>
      <c r="H37" s="23"/>
      <c r="I37" s="23"/>
    </row>
    <row r="38" spans="1:9" ht="17" hidden="1" customHeight="1">
      <c r="A38" s="27" t="s">
        <v>21</v>
      </c>
      <c r="B38" s="27" t="s">
        <v>62</v>
      </c>
      <c r="C38" s="29">
        <v>-5.0130045186997103E-2</v>
      </c>
      <c r="D38" s="29">
        <v>0.106633619745681</v>
      </c>
      <c r="E38" s="29">
        <v>0.92504236479026103</v>
      </c>
      <c r="F38" s="29">
        <v>0.124083767735281</v>
      </c>
      <c r="G38" s="27" t="str">
        <f t="shared" si="1"/>
        <v/>
      </c>
      <c r="H38" s="23"/>
      <c r="I38" s="23"/>
    </row>
    <row r="39" spans="1:9" ht="17" hidden="1" customHeight="1">
      <c r="A39" s="27" t="s">
        <v>21</v>
      </c>
      <c r="B39" s="27" t="s">
        <v>36</v>
      </c>
      <c r="C39" s="29">
        <v>-5.5429663535596703E-2</v>
      </c>
      <c r="D39" s="29">
        <v>0.109604005891177</v>
      </c>
      <c r="E39" s="29">
        <v>1.0371170894769299</v>
      </c>
      <c r="F39" s="29">
        <v>0.12984546742466299</v>
      </c>
      <c r="G39" s="27" t="str">
        <f t="shared" si="1"/>
        <v/>
      </c>
      <c r="H39" s="23"/>
      <c r="I39" s="23"/>
    </row>
    <row r="40" spans="1:9" ht="17" hidden="1" customHeight="1">
      <c r="A40" s="27" t="s">
        <v>21</v>
      </c>
      <c r="B40" s="27" t="s">
        <v>63</v>
      </c>
      <c r="C40" s="29">
        <v>-1.1689955177705999E-2</v>
      </c>
      <c r="D40" s="29">
        <v>0.13789864357268</v>
      </c>
      <c r="E40" s="29">
        <v>1.1586583944259099</v>
      </c>
      <c r="F40" s="29">
        <v>0.15242580516000601</v>
      </c>
      <c r="G40" s="27" t="str">
        <f t="shared" si="1"/>
        <v/>
      </c>
      <c r="H40" s="23"/>
      <c r="I40" s="23"/>
    </row>
    <row r="41" spans="1:9" ht="17" hidden="1" customHeight="1">
      <c r="A41" s="27" t="s">
        <v>21</v>
      </c>
      <c r="B41" s="27" t="s">
        <v>64</v>
      </c>
      <c r="C41" s="29">
        <v>-2.9456351988702601E-2</v>
      </c>
      <c r="D41" s="29">
        <v>0.12407182748913199</v>
      </c>
      <c r="E41" s="29">
        <v>1.1158406418593201</v>
      </c>
      <c r="F41" s="29">
        <v>0.131533256162743</v>
      </c>
      <c r="G41" s="27" t="str">
        <f t="shared" si="1"/>
        <v/>
      </c>
      <c r="H41" s="23"/>
      <c r="I41" s="23"/>
    </row>
    <row r="42" spans="1:9" ht="17" hidden="1" customHeight="1">
      <c r="A42" s="27" t="s">
        <v>24</v>
      </c>
      <c r="B42" s="27" t="s">
        <v>61</v>
      </c>
      <c r="C42" s="29">
        <v>3.1610901720017702E-2</v>
      </c>
      <c r="D42" s="29">
        <v>0.16862076481296201</v>
      </c>
      <c r="E42" s="29">
        <v>1.06040636133378</v>
      </c>
      <c r="F42" s="29">
        <v>0.15470050697194401</v>
      </c>
      <c r="G42" s="27" t="str">
        <f t="shared" si="1"/>
        <v/>
      </c>
      <c r="H42" s="23"/>
      <c r="I42" s="23"/>
    </row>
    <row r="43" spans="1:9" ht="17" hidden="1" customHeight="1">
      <c r="A43" s="27" t="s">
        <v>24</v>
      </c>
      <c r="B43" s="27" t="s">
        <v>33</v>
      </c>
      <c r="C43" s="29">
        <v>9.1354169071839603E-3</v>
      </c>
      <c r="D43" s="29">
        <v>0.13808630180730999</v>
      </c>
      <c r="E43" s="29">
        <v>1.0703541787106801</v>
      </c>
      <c r="F43" s="29">
        <v>0.17854960998698099</v>
      </c>
      <c r="G43" s="27" t="str">
        <f t="shared" si="1"/>
        <v/>
      </c>
      <c r="H43" s="23"/>
      <c r="I43" s="23"/>
    </row>
    <row r="44" spans="1:9" ht="17" hidden="1" customHeight="1">
      <c r="A44" s="27" t="s">
        <v>24</v>
      </c>
      <c r="B44" s="27" t="s">
        <v>34</v>
      </c>
      <c r="C44" s="29">
        <v>-7.1929240386996399E-2</v>
      </c>
      <c r="D44" s="29">
        <v>0.12142153468993799</v>
      </c>
      <c r="E44" s="29">
        <v>1.0859844186026399</v>
      </c>
      <c r="F44" s="29">
        <v>0.17369759492417999</v>
      </c>
      <c r="G44" s="27" t="str">
        <f t="shared" si="1"/>
        <v/>
      </c>
      <c r="H44" s="23"/>
      <c r="I44" s="23"/>
    </row>
    <row r="45" spans="1:9" ht="17" customHeight="1">
      <c r="A45" s="27" t="s">
        <v>24</v>
      </c>
      <c r="B45" s="27" t="s">
        <v>13</v>
      </c>
      <c r="C45" s="29">
        <v>9.2062890355471105E-2</v>
      </c>
      <c r="D45" s="29">
        <v>0.12110244689453201</v>
      </c>
      <c r="E45" s="29">
        <v>1.09200069223068</v>
      </c>
      <c r="F45" s="29">
        <v>0.23499368623664799</v>
      </c>
      <c r="G45" s="29">
        <f t="shared" si="1"/>
        <v>1</v>
      </c>
      <c r="H45" s="23"/>
      <c r="I45" s="23"/>
    </row>
    <row r="46" spans="1:9" ht="17" customHeight="1">
      <c r="A46" s="27" t="s">
        <v>24</v>
      </c>
      <c r="B46" s="27" t="s">
        <v>19</v>
      </c>
      <c r="C46" s="29">
        <v>9.32284884295322E-2</v>
      </c>
      <c r="D46" s="29">
        <v>0.12878993656151999</v>
      </c>
      <c r="E46" s="29">
        <v>1.0165521536884199</v>
      </c>
      <c r="F46" s="29">
        <v>0.19943336931946801</v>
      </c>
      <c r="G46" s="29">
        <f t="shared" si="1"/>
        <v>1</v>
      </c>
      <c r="H46" s="23"/>
      <c r="I46" s="23"/>
    </row>
    <row r="47" spans="1:9" ht="17" hidden="1" customHeight="1">
      <c r="A47" s="27" t="s">
        <v>24</v>
      </c>
      <c r="B47" s="27" t="s">
        <v>35</v>
      </c>
      <c r="C47" s="29">
        <v>-6.0313071972413999E-2</v>
      </c>
      <c r="D47" s="29">
        <v>0.116603969497588</v>
      </c>
      <c r="E47" s="29">
        <v>0.95029385382905296</v>
      </c>
      <c r="F47" s="29">
        <v>0.153837505027035</v>
      </c>
      <c r="G47" s="27" t="str">
        <f t="shared" si="1"/>
        <v/>
      </c>
      <c r="H47" s="23"/>
      <c r="I47" s="23"/>
    </row>
    <row r="48" spans="1:9" ht="17" hidden="1" customHeight="1">
      <c r="A48" s="27" t="s">
        <v>24</v>
      </c>
      <c r="B48" s="27" t="s">
        <v>62</v>
      </c>
      <c r="C48" s="29">
        <v>-3.7674850513819198E-2</v>
      </c>
      <c r="D48" s="29">
        <v>9.7977091342513395E-2</v>
      </c>
      <c r="E48" s="29">
        <v>0.85116551335534596</v>
      </c>
      <c r="F48" s="29">
        <v>0.14417143011966699</v>
      </c>
      <c r="G48" s="27" t="str">
        <f t="shared" si="1"/>
        <v/>
      </c>
      <c r="H48" s="23"/>
      <c r="I48" s="23"/>
    </row>
    <row r="49" spans="1:9" ht="17" hidden="1" customHeight="1">
      <c r="A49" s="27" t="s">
        <v>24</v>
      </c>
      <c r="B49" s="27" t="s">
        <v>36</v>
      </c>
      <c r="C49" s="29">
        <v>-2.92908617894805E-2</v>
      </c>
      <c r="D49" s="29">
        <v>0.13321775093643501</v>
      </c>
      <c r="E49" s="29">
        <v>1.09248754274451</v>
      </c>
      <c r="F49" s="29">
        <v>0.20057144013564501</v>
      </c>
      <c r="G49" s="27" t="str">
        <f t="shared" si="1"/>
        <v/>
      </c>
      <c r="H49" s="23"/>
      <c r="I49" s="23"/>
    </row>
    <row r="50" spans="1:9" ht="17" hidden="1" customHeight="1">
      <c r="A50" s="27" t="s">
        <v>24</v>
      </c>
      <c r="B50" s="27" t="s">
        <v>63</v>
      </c>
      <c r="C50" s="29">
        <v>-4.2589244086683103E-2</v>
      </c>
      <c r="D50" s="29">
        <v>0.118113688222883</v>
      </c>
      <c r="E50" s="29">
        <v>1.0560352239975801</v>
      </c>
      <c r="F50" s="29">
        <v>0.18774429303293899</v>
      </c>
      <c r="G50" s="27" t="str">
        <f t="shared" si="1"/>
        <v/>
      </c>
      <c r="H50" s="23"/>
      <c r="I50" s="23"/>
    </row>
    <row r="51" spans="1:9" ht="17" hidden="1" customHeight="1">
      <c r="A51" s="27" t="s">
        <v>24</v>
      </c>
      <c r="B51" s="27" t="s">
        <v>64</v>
      </c>
      <c r="C51" s="29">
        <v>1.13491293219632E-2</v>
      </c>
      <c r="D51" s="29">
        <v>9.9092490968033298E-2</v>
      </c>
      <c r="E51" s="29">
        <v>1.07051424538506</v>
      </c>
      <c r="F51" s="29">
        <v>0.17518782309577599</v>
      </c>
      <c r="G51" s="27" t="str">
        <f t="shared" si="1"/>
        <v/>
      </c>
      <c r="H51" s="23"/>
      <c r="I51" s="23"/>
    </row>
    <row r="52" spans="1:9" ht="17" hidden="1" customHeight="1">
      <c r="A52" s="27" t="s">
        <v>26</v>
      </c>
      <c r="B52" s="27" t="s">
        <v>61</v>
      </c>
      <c r="C52" s="29">
        <v>4.2791701709714601E-2</v>
      </c>
      <c r="D52" s="29">
        <v>0.200735565116511</v>
      </c>
      <c r="E52" s="29">
        <v>1.05718407560218</v>
      </c>
      <c r="F52" s="29">
        <v>0.18672925219922401</v>
      </c>
      <c r="G52" s="27" t="str">
        <f t="shared" si="1"/>
        <v/>
      </c>
      <c r="H52" s="23"/>
      <c r="I52" s="23"/>
    </row>
    <row r="53" spans="1:9" ht="17" hidden="1" customHeight="1">
      <c r="A53" s="27" t="s">
        <v>26</v>
      </c>
      <c r="B53" s="27" t="s">
        <v>33</v>
      </c>
      <c r="C53" s="29">
        <v>1.4099820416395001E-2</v>
      </c>
      <c r="D53" s="29">
        <v>0.16857019315675301</v>
      </c>
      <c r="E53" s="29">
        <v>1.0713717070590301</v>
      </c>
      <c r="F53" s="29">
        <v>0.21641460805878601</v>
      </c>
      <c r="G53" s="27" t="str">
        <f t="shared" si="1"/>
        <v/>
      </c>
      <c r="H53" s="23"/>
      <c r="I53" s="23"/>
    </row>
    <row r="54" spans="1:9" ht="17" hidden="1" customHeight="1">
      <c r="A54" s="27" t="s">
        <v>26</v>
      </c>
      <c r="B54" s="27" t="s">
        <v>34</v>
      </c>
      <c r="C54" s="29">
        <v>-7.5480304875732096E-2</v>
      </c>
      <c r="D54" s="29">
        <v>0.112586480651194</v>
      </c>
      <c r="E54" s="29">
        <v>1.0910715184350399</v>
      </c>
      <c r="F54" s="29">
        <v>0.20387699502280399</v>
      </c>
      <c r="G54" s="27" t="str">
        <f t="shared" si="1"/>
        <v/>
      </c>
      <c r="H54" s="23"/>
      <c r="I54" s="23"/>
    </row>
    <row r="55" spans="1:9" ht="17" customHeight="1">
      <c r="A55" s="27" t="s">
        <v>26</v>
      </c>
      <c r="B55" s="27" t="s">
        <v>13</v>
      </c>
      <c r="C55" s="29">
        <v>8.8506106031446999E-2</v>
      </c>
      <c r="D55" s="29">
        <v>0.118515045194641</v>
      </c>
      <c r="E55" s="29">
        <v>1.1341894693382699</v>
      </c>
      <c r="F55" s="29">
        <v>0.28957528747476202</v>
      </c>
      <c r="G55" s="29">
        <f t="shared" si="1"/>
        <v>1</v>
      </c>
      <c r="H55" s="23"/>
      <c r="I55" s="23"/>
    </row>
    <row r="56" spans="1:9" ht="17" customHeight="1">
      <c r="A56" s="27" t="s">
        <v>26</v>
      </c>
      <c r="B56" s="27" t="s">
        <v>19</v>
      </c>
      <c r="C56" s="29">
        <v>9.3876381447670507E-2</v>
      </c>
      <c r="D56" s="29">
        <v>0.102831415371055</v>
      </c>
      <c r="E56" s="29">
        <v>0.99784892324609198</v>
      </c>
      <c r="F56" s="29">
        <v>0.21920651026238799</v>
      </c>
      <c r="G56" s="29">
        <f t="shared" si="1"/>
        <v>1</v>
      </c>
      <c r="H56" s="23"/>
      <c r="I56" s="23"/>
    </row>
    <row r="57" spans="1:9" ht="17" hidden="1" customHeight="1">
      <c r="A57" s="27" t="s">
        <v>26</v>
      </c>
      <c r="B57" s="27" t="s">
        <v>35</v>
      </c>
      <c r="C57" s="29">
        <v>-5.5555436890215602E-2</v>
      </c>
      <c r="D57" s="29">
        <v>9.4477045830596795E-2</v>
      </c>
      <c r="E57" s="29">
        <v>0.92321318645148798</v>
      </c>
      <c r="F57" s="29">
        <v>0.14031461935504699</v>
      </c>
      <c r="G57" s="27" t="str">
        <f t="shared" si="1"/>
        <v/>
      </c>
      <c r="H57" s="23"/>
      <c r="I57" s="23"/>
    </row>
    <row r="58" spans="1:9" ht="17" hidden="1" customHeight="1">
      <c r="A58" s="27" t="s">
        <v>26</v>
      </c>
      <c r="B58" s="27" t="s">
        <v>62</v>
      </c>
      <c r="C58" s="29">
        <v>-2.7192506556266299E-2</v>
      </c>
      <c r="D58" s="29">
        <v>9.0424686597809403E-2</v>
      </c>
      <c r="E58" s="29">
        <v>0.81957487363721604</v>
      </c>
      <c r="F58" s="29">
        <v>0.14371540829704199</v>
      </c>
      <c r="G58" s="27" t="str">
        <f t="shared" si="1"/>
        <v/>
      </c>
      <c r="H58" s="23"/>
      <c r="I58" s="23"/>
    </row>
    <row r="59" spans="1:9" ht="17" hidden="1" customHeight="1">
      <c r="A59" s="27" t="s">
        <v>26</v>
      </c>
      <c r="B59" s="27" t="s">
        <v>36</v>
      </c>
      <c r="C59" s="29">
        <v>-2.9311494508473999E-2</v>
      </c>
      <c r="D59" s="29">
        <v>0.12567476496087099</v>
      </c>
      <c r="E59" s="29">
        <v>1.1154780489510601</v>
      </c>
      <c r="F59" s="29">
        <v>0.21896011085185901</v>
      </c>
      <c r="G59" s="27" t="str">
        <f t="shared" si="1"/>
        <v/>
      </c>
      <c r="H59" s="23"/>
      <c r="I59" s="23"/>
    </row>
    <row r="60" spans="1:9" ht="17" hidden="1" customHeight="1">
      <c r="A60" s="27" t="s">
        <v>26</v>
      </c>
      <c r="B60" s="27" t="s">
        <v>63</v>
      </c>
      <c r="C60" s="29">
        <v>-5.5426063448891803E-2</v>
      </c>
      <c r="D60" s="29">
        <v>0.110216846988741</v>
      </c>
      <c r="E60" s="29">
        <v>1.0434674347780599</v>
      </c>
      <c r="F60" s="29">
        <v>0.18519802751862499</v>
      </c>
      <c r="G60" s="27" t="str">
        <f t="shared" si="1"/>
        <v/>
      </c>
      <c r="H60" s="23"/>
      <c r="I60" s="23"/>
    </row>
    <row r="61" spans="1:9" ht="17" hidden="1" customHeight="1">
      <c r="A61" s="27" t="s">
        <v>26</v>
      </c>
      <c r="B61" s="27" t="s">
        <v>64</v>
      </c>
      <c r="C61" s="29">
        <v>1.1173090343687101E-3</v>
      </c>
      <c r="D61" s="29">
        <v>0.109931659904315</v>
      </c>
      <c r="E61" s="29">
        <v>1.06083436667667</v>
      </c>
      <c r="F61" s="29">
        <v>0.19196902420332301</v>
      </c>
      <c r="G61" s="27" t="str">
        <f t="shared" si="1"/>
        <v/>
      </c>
      <c r="H61" s="23"/>
      <c r="I61" s="23"/>
    </row>
    <row r="62" spans="1:9" ht="17" hidden="1" customHeight="1">
      <c r="A62" s="27" t="s">
        <v>29</v>
      </c>
      <c r="B62" s="27" t="s">
        <v>61</v>
      </c>
      <c r="C62" s="29">
        <v>2.1778605006114199E-2</v>
      </c>
      <c r="D62" s="29">
        <v>0.153129302176638</v>
      </c>
      <c r="E62" s="29">
        <v>1.05941818297809</v>
      </c>
      <c r="F62" s="29">
        <v>0.14904940541695</v>
      </c>
      <c r="G62" s="27" t="str">
        <f t="shared" si="1"/>
        <v/>
      </c>
      <c r="H62" s="23"/>
      <c r="I62" s="23"/>
    </row>
    <row r="63" spans="1:9" ht="17" hidden="1" customHeight="1">
      <c r="A63" s="27" t="s">
        <v>29</v>
      </c>
      <c r="B63" s="27" t="s">
        <v>33</v>
      </c>
      <c r="C63" s="29">
        <v>6.4356233307786602E-3</v>
      </c>
      <c r="D63" s="29">
        <v>0.13217497909189299</v>
      </c>
      <c r="E63" s="29">
        <v>1.0681665192818599</v>
      </c>
      <c r="F63" s="29">
        <v>0.17707624581479101</v>
      </c>
      <c r="G63" s="27" t="str">
        <f t="shared" si="1"/>
        <v/>
      </c>
      <c r="H63" s="23"/>
      <c r="I63" s="23"/>
    </row>
    <row r="64" spans="1:9" ht="17" hidden="1" customHeight="1">
      <c r="A64" s="27" t="s">
        <v>29</v>
      </c>
      <c r="B64" s="27" t="s">
        <v>34</v>
      </c>
      <c r="C64" s="29">
        <v>-7.1836565211200104E-2</v>
      </c>
      <c r="D64" s="29">
        <v>0.103981274238653</v>
      </c>
      <c r="E64" s="29">
        <v>1.08397888676409</v>
      </c>
      <c r="F64" s="29">
        <v>0.13912259950839401</v>
      </c>
      <c r="G64" s="27" t="str">
        <f t="shared" si="1"/>
        <v/>
      </c>
      <c r="H64" s="23"/>
      <c r="I64" s="23"/>
    </row>
    <row r="65" spans="1:9" ht="17" customHeight="1">
      <c r="A65" s="27" t="s">
        <v>29</v>
      </c>
      <c r="B65" s="27" t="s">
        <v>13</v>
      </c>
      <c r="C65" s="29">
        <v>9.0721969830910895E-2</v>
      </c>
      <c r="D65" s="29">
        <v>0.111534953226224</v>
      </c>
      <c r="E65" s="29">
        <v>1.07400403236104</v>
      </c>
      <c r="F65" s="29">
        <v>0.223755533995288</v>
      </c>
      <c r="G65" s="29">
        <f t="shared" si="1"/>
        <v>1</v>
      </c>
      <c r="H65" s="23"/>
      <c r="I65" s="23"/>
    </row>
    <row r="66" spans="1:9" ht="17" customHeight="1">
      <c r="A66" s="27" t="s">
        <v>29</v>
      </c>
      <c r="B66" s="27" t="s">
        <v>19</v>
      </c>
      <c r="C66" s="29">
        <v>9.0081357559754605E-2</v>
      </c>
      <c r="D66" s="29">
        <v>0.112414871042158</v>
      </c>
      <c r="E66" s="29">
        <v>1.02550676852961</v>
      </c>
      <c r="F66" s="29">
        <v>0.15566975682713599</v>
      </c>
      <c r="G66" s="29">
        <f t="shared" ref="G66:G97" si="2">IF(C66:C66&gt;=0.05,1,"")</f>
        <v>1</v>
      </c>
      <c r="H66" s="23"/>
      <c r="I66" s="23"/>
    </row>
    <row r="67" spans="1:9" ht="17" hidden="1" customHeight="1">
      <c r="A67" s="27" t="s">
        <v>29</v>
      </c>
      <c r="B67" s="27" t="s">
        <v>35</v>
      </c>
      <c r="C67" s="29">
        <v>-6.2817589756468006E-2</v>
      </c>
      <c r="D67" s="29">
        <v>9.8821500923893302E-2</v>
      </c>
      <c r="E67" s="29">
        <v>0.96153542941340797</v>
      </c>
      <c r="F67" s="29">
        <v>0.145983600832435</v>
      </c>
      <c r="G67" s="27" t="str">
        <f t="shared" si="2"/>
        <v/>
      </c>
      <c r="H67" s="23"/>
      <c r="I67" s="23"/>
    </row>
    <row r="68" spans="1:9" ht="17" hidden="1" customHeight="1">
      <c r="A68" s="27" t="s">
        <v>29</v>
      </c>
      <c r="B68" s="27" t="s">
        <v>62</v>
      </c>
      <c r="C68" s="29">
        <v>-4.3950330806347901E-2</v>
      </c>
      <c r="D68" s="29">
        <v>9.6858762455056396E-2</v>
      </c>
      <c r="E68" s="29">
        <v>0.86742640846882602</v>
      </c>
      <c r="F68" s="29">
        <v>0.13240205528108501</v>
      </c>
      <c r="G68" s="27" t="str">
        <f t="shared" si="2"/>
        <v/>
      </c>
      <c r="H68" s="23"/>
      <c r="I68" s="23"/>
    </row>
    <row r="69" spans="1:9" ht="17" hidden="1" customHeight="1">
      <c r="A69" s="27" t="s">
        <v>29</v>
      </c>
      <c r="B69" s="27" t="s">
        <v>36</v>
      </c>
      <c r="C69" s="29">
        <v>-3.0344729302964901E-2</v>
      </c>
      <c r="D69" s="29">
        <v>0.104885028896223</v>
      </c>
      <c r="E69" s="29">
        <v>1.0828383790723899</v>
      </c>
      <c r="F69" s="29">
        <v>0.189416787320727</v>
      </c>
      <c r="G69" s="27" t="str">
        <f t="shared" si="2"/>
        <v/>
      </c>
      <c r="H69" s="23"/>
      <c r="I69" s="23"/>
    </row>
    <row r="70" spans="1:9" ht="17" hidden="1" customHeight="1">
      <c r="A70" s="27" t="s">
        <v>29</v>
      </c>
      <c r="B70" s="27" t="s">
        <v>63</v>
      </c>
      <c r="C70" s="29">
        <v>-3.7716018291351398E-2</v>
      </c>
      <c r="D70" s="29">
        <v>0.104459138652547</v>
      </c>
      <c r="E70" s="29">
        <v>1.0632636306053</v>
      </c>
      <c r="F70" s="29">
        <v>0.16760713803416699</v>
      </c>
      <c r="G70" s="27" t="str">
        <f t="shared" si="2"/>
        <v/>
      </c>
      <c r="H70" s="23"/>
      <c r="I70" s="23"/>
    </row>
    <row r="71" spans="1:9" ht="17" hidden="1" customHeight="1">
      <c r="A71" s="27" t="s">
        <v>29</v>
      </c>
      <c r="B71" s="27" t="s">
        <v>64</v>
      </c>
      <c r="C71" s="29">
        <v>1.3499805044722099E-2</v>
      </c>
      <c r="D71" s="29">
        <v>0.108588135647366</v>
      </c>
      <c r="E71" s="29">
        <v>1.07607086100311</v>
      </c>
      <c r="F71" s="29">
        <v>0.14776045808893201</v>
      </c>
      <c r="G71" s="27" t="str">
        <f t="shared" si="2"/>
        <v/>
      </c>
      <c r="H71" s="23"/>
      <c r="I71" s="23"/>
    </row>
    <row r="72" spans="1:9" ht="17" hidden="1" customHeight="1">
      <c r="A72" s="27" t="s">
        <v>41</v>
      </c>
      <c r="B72" s="27" t="s">
        <v>61</v>
      </c>
      <c r="C72" s="29">
        <v>1.2783999166549201E-2</v>
      </c>
      <c r="D72" s="29">
        <v>0.12823302956589899</v>
      </c>
      <c r="E72" s="29">
        <v>1.04503243800751</v>
      </c>
      <c r="F72" s="29">
        <v>0.13635128042955</v>
      </c>
      <c r="G72" s="27" t="str">
        <f t="shared" si="2"/>
        <v/>
      </c>
      <c r="H72" s="23"/>
      <c r="I72" s="23"/>
    </row>
    <row r="73" spans="1:9" ht="17" hidden="1" customHeight="1">
      <c r="A73" s="27" t="s">
        <v>41</v>
      </c>
      <c r="B73" s="27" t="s">
        <v>33</v>
      </c>
      <c r="C73" s="29">
        <v>1.7403220460267E-4</v>
      </c>
      <c r="D73" s="29">
        <v>0.13849256418973799</v>
      </c>
      <c r="E73" s="29">
        <v>1.04621364017498</v>
      </c>
      <c r="F73" s="29">
        <v>0.16898538461825499</v>
      </c>
      <c r="G73" s="27" t="str">
        <f t="shared" si="2"/>
        <v/>
      </c>
      <c r="H73" s="23"/>
      <c r="I73" s="23"/>
    </row>
    <row r="74" spans="1:9" ht="17" hidden="1" customHeight="1">
      <c r="A74" s="27" t="s">
        <v>41</v>
      </c>
      <c r="B74" s="27" t="s">
        <v>34</v>
      </c>
      <c r="C74" s="29">
        <v>-7.2827182550289998E-2</v>
      </c>
      <c r="D74" s="29">
        <v>0.11409290092041501</v>
      </c>
      <c r="E74" s="29">
        <v>1.0785220940395699</v>
      </c>
      <c r="F74" s="29">
        <v>0.14755882198551601</v>
      </c>
      <c r="G74" s="27" t="str">
        <f t="shared" si="2"/>
        <v/>
      </c>
      <c r="H74" s="23"/>
      <c r="I74" s="23"/>
    </row>
    <row r="75" spans="1:9" ht="17" customHeight="1">
      <c r="A75" s="27" t="s">
        <v>41</v>
      </c>
      <c r="B75" s="27" t="s">
        <v>13</v>
      </c>
      <c r="C75" s="29">
        <v>8.8626891356034507E-2</v>
      </c>
      <c r="D75" s="29">
        <v>9.39340265899027E-2</v>
      </c>
      <c r="E75" s="29">
        <v>1.03920503831386</v>
      </c>
      <c r="F75" s="29">
        <v>0.147710717668182</v>
      </c>
      <c r="G75" s="29">
        <f t="shared" si="2"/>
        <v>1</v>
      </c>
      <c r="H75" s="23"/>
      <c r="I75" s="23"/>
    </row>
    <row r="76" spans="1:9" ht="17" customHeight="1">
      <c r="A76" s="27" t="s">
        <v>41</v>
      </c>
      <c r="B76" s="27" t="s">
        <v>19</v>
      </c>
      <c r="C76" s="29">
        <v>8.6062479443555606E-2</v>
      </c>
      <c r="D76" s="29">
        <v>0.10580109941926</v>
      </c>
      <c r="E76" s="29">
        <v>1.0030029764635899</v>
      </c>
      <c r="F76" s="29">
        <v>0.15807223065555001</v>
      </c>
      <c r="G76" s="29">
        <f t="shared" si="2"/>
        <v>1</v>
      </c>
      <c r="H76" s="23"/>
      <c r="I76" s="23"/>
    </row>
    <row r="77" spans="1:9" ht="17" hidden="1" customHeight="1">
      <c r="A77" s="27" t="s">
        <v>41</v>
      </c>
      <c r="B77" s="27" t="s">
        <v>35</v>
      </c>
      <c r="C77" s="29">
        <v>-6.20032638445751E-2</v>
      </c>
      <c r="D77" s="29">
        <v>0.12164643175965099</v>
      </c>
      <c r="E77" s="29">
        <v>0.95491210750335997</v>
      </c>
      <c r="F77" s="29">
        <v>0.15376998600140501</v>
      </c>
      <c r="G77" s="27" t="str">
        <f t="shared" si="2"/>
        <v/>
      </c>
      <c r="H77" s="23"/>
      <c r="I77" s="23"/>
    </row>
    <row r="78" spans="1:9" ht="17" hidden="1" customHeight="1">
      <c r="A78" s="27" t="s">
        <v>41</v>
      </c>
      <c r="B78" s="27" t="s">
        <v>62</v>
      </c>
      <c r="C78" s="29">
        <v>-4.6028188094857203E-2</v>
      </c>
      <c r="D78" s="29">
        <v>9.3797392373874203E-2</v>
      </c>
      <c r="E78" s="29">
        <v>0.87407146478745101</v>
      </c>
      <c r="F78" s="29">
        <v>0.144829771175501</v>
      </c>
      <c r="G78" s="27" t="str">
        <f t="shared" si="2"/>
        <v/>
      </c>
      <c r="H78" s="23"/>
      <c r="I78" s="23"/>
    </row>
    <row r="79" spans="1:9" ht="17" hidden="1" customHeight="1">
      <c r="A79" s="27" t="s">
        <v>41</v>
      </c>
      <c r="B79" s="27" t="s">
        <v>36</v>
      </c>
      <c r="C79" s="29">
        <v>-2.9449973323693202E-2</v>
      </c>
      <c r="D79" s="29">
        <v>0.11043966896856899</v>
      </c>
      <c r="E79" s="29">
        <v>1.05118753882782</v>
      </c>
      <c r="F79" s="29">
        <v>0.16233219684776801</v>
      </c>
      <c r="G79" s="27" t="str">
        <f t="shared" si="2"/>
        <v/>
      </c>
      <c r="H79" s="23"/>
      <c r="I79" s="23"/>
    </row>
    <row r="80" spans="1:9" ht="17" hidden="1" customHeight="1">
      <c r="A80" s="27" t="s">
        <v>41</v>
      </c>
      <c r="B80" s="27" t="s">
        <v>63</v>
      </c>
      <c r="C80" s="29">
        <v>-3.1207407204250099E-2</v>
      </c>
      <c r="D80" s="29">
        <v>0.10310501893521901</v>
      </c>
      <c r="E80" s="29">
        <v>1.05611701616691</v>
      </c>
      <c r="F80" s="29">
        <v>0.13786371067627301</v>
      </c>
      <c r="G80" s="27" t="str">
        <f t="shared" si="2"/>
        <v/>
      </c>
      <c r="H80" s="23"/>
      <c r="I80" s="23"/>
    </row>
    <row r="81" spans="1:9" ht="17" hidden="1" customHeight="1">
      <c r="A81" s="27" t="s">
        <v>41</v>
      </c>
      <c r="B81" s="27" t="s">
        <v>64</v>
      </c>
      <c r="C81" s="29">
        <v>-1.3609311684557499E-3</v>
      </c>
      <c r="D81" s="29">
        <v>0.10387460099108101</v>
      </c>
      <c r="E81" s="29">
        <v>1.0654094583340501</v>
      </c>
      <c r="F81" s="29">
        <v>0.135031619459931</v>
      </c>
      <c r="G81" s="27" t="str">
        <f t="shared" si="2"/>
        <v/>
      </c>
      <c r="H81" s="23"/>
      <c r="I81" s="23"/>
    </row>
    <row r="82" spans="1:9" ht="17" hidden="1" customHeight="1">
      <c r="A82" s="27" t="s">
        <v>43</v>
      </c>
      <c r="B82" s="27" t="s">
        <v>61</v>
      </c>
      <c r="C82" s="29">
        <v>6.3635370448042999E-3</v>
      </c>
      <c r="D82" s="29">
        <v>0.140822538433238</v>
      </c>
      <c r="E82" s="29">
        <v>1.05769887349429</v>
      </c>
      <c r="F82" s="29">
        <v>0.135020312049005</v>
      </c>
      <c r="G82" s="27" t="str">
        <f t="shared" si="2"/>
        <v/>
      </c>
      <c r="H82" s="23"/>
      <c r="I82" s="23"/>
    </row>
    <row r="83" spans="1:9" ht="17" hidden="1" customHeight="1">
      <c r="A83" s="27" t="s">
        <v>43</v>
      </c>
      <c r="B83" s="27" t="s">
        <v>33</v>
      </c>
      <c r="C83" s="29">
        <v>-1.4707179210849399E-2</v>
      </c>
      <c r="D83" s="29">
        <v>0.13226453530497601</v>
      </c>
      <c r="E83" s="29">
        <v>1.05064793623841</v>
      </c>
      <c r="F83" s="29">
        <v>0.15473363364015599</v>
      </c>
      <c r="G83" s="27" t="str">
        <f t="shared" si="2"/>
        <v/>
      </c>
      <c r="H83" s="23"/>
      <c r="I83" s="23"/>
    </row>
    <row r="84" spans="1:9" ht="17" hidden="1" customHeight="1">
      <c r="A84" s="27" t="s">
        <v>43</v>
      </c>
      <c r="B84" s="27" t="s">
        <v>34</v>
      </c>
      <c r="C84" s="29">
        <v>-6.4556035357318395E-2</v>
      </c>
      <c r="D84" s="29">
        <v>0.122555316506495</v>
      </c>
      <c r="E84" s="29">
        <v>1.0758216543305801</v>
      </c>
      <c r="F84" s="29">
        <v>0.14215782518635001</v>
      </c>
      <c r="G84" s="27" t="str">
        <f t="shared" si="2"/>
        <v/>
      </c>
      <c r="H84" s="23"/>
      <c r="I84" s="23"/>
    </row>
    <row r="85" spans="1:9" ht="17" customHeight="1">
      <c r="A85" s="27" t="s">
        <v>43</v>
      </c>
      <c r="B85" s="27" t="s">
        <v>13</v>
      </c>
      <c r="C85" s="29">
        <v>7.1614313421992495E-2</v>
      </c>
      <c r="D85" s="29">
        <v>0.11975921026986899</v>
      </c>
      <c r="E85" s="29">
        <v>1.06958106900201</v>
      </c>
      <c r="F85" s="29">
        <v>0.157526504458149</v>
      </c>
      <c r="G85" s="29">
        <f t="shared" si="2"/>
        <v>1</v>
      </c>
      <c r="H85" s="23"/>
      <c r="I85" s="23"/>
    </row>
    <row r="86" spans="1:9" ht="17" customHeight="1">
      <c r="A86" s="27" t="s">
        <v>43</v>
      </c>
      <c r="B86" s="27" t="s">
        <v>19</v>
      </c>
      <c r="C86" s="29">
        <v>8.4879140507217593E-2</v>
      </c>
      <c r="D86" s="29">
        <v>0.132348420427677</v>
      </c>
      <c r="E86" s="29">
        <v>1.0268571154832999</v>
      </c>
      <c r="F86" s="29">
        <v>0.12802236271219999</v>
      </c>
      <c r="G86" s="29">
        <f t="shared" si="2"/>
        <v>1</v>
      </c>
      <c r="H86" s="23"/>
      <c r="I86" s="23"/>
    </row>
    <row r="87" spans="1:9" ht="17" hidden="1" customHeight="1">
      <c r="A87" s="27" t="s">
        <v>43</v>
      </c>
      <c r="B87" s="27" t="s">
        <v>35</v>
      </c>
      <c r="C87" s="29">
        <v>-5.08389086968659E-2</v>
      </c>
      <c r="D87" s="29">
        <v>0.11713363639858999</v>
      </c>
      <c r="E87" s="29">
        <v>0.95066262880832697</v>
      </c>
      <c r="F87" s="29">
        <v>0.136700578084022</v>
      </c>
      <c r="G87" s="27" t="str">
        <f t="shared" si="2"/>
        <v/>
      </c>
      <c r="H87" s="23"/>
      <c r="I87" s="23"/>
    </row>
    <row r="88" spans="1:9" ht="17" hidden="1" customHeight="1">
      <c r="A88" s="27" t="s">
        <v>43</v>
      </c>
      <c r="B88" s="27" t="s">
        <v>62</v>
      </c>
      <c r="C88" s="29">
        <v>-4.1692088867301899E-2</v>
      </c>
      <c r="D88" s="29">
        <v>0.11087732970719701</v>
      </c>
      <c r="E88" s="29">
        <v>0.85750019285592305</v>
      </c>
      <c r="F88" s="29">
        <v>0.123030755288891</v>
      </c>
      <c r="G88" s="27" t="str">
        <f t="shared" si="2"/>
        <v/>
      </c>
      <c r="H88" s="23"/>
      <c r="I88" s="23"/>
    </row>
    <row r="89" spans="1:9" ht="17" hidden="1" customHeight="1">
      <c r="A89" s="27" t="s">
        <v>43</v>
      </c>
      <c r="B89" s="27" t="s">
        <v>36</v>
      </c>
      <c r="C89" s="29">
        <v>-4.0475741334304899E-2</v>
      </c>
      <c r="D89" s="29">
        <v>0.117294155422223</v>
      </c>
      <c r="E89" s="29">
        <v>1.06295295260852</v>
      </c>
      <c r="F89" s="29">
        <v>0.16358618295586899</v>
      </c>
      <c r="G89" s="27" t="str">
        <f t="shared" si="2"/>
        <v/>
      </c>
      <c r="H89" s="23"/>
      <c r="I89" s="23"/>
    </row>
    <row r="90" spans="1:9" ht="17" hidden="1" customHeight="1">
      <c r="A90" s="27" t="s">
        <v>43</v>
      </c>
      <c r="B90" s="27" t="s">
        <v>63</v>
      </c>
      <c r="C90" s="29">
        <v>-2.65242835310621E-2</v>
      </c>
      <c r="D90" s="29">
        <v>0.13160374901361699</v>
      </c>
      <c r="E90" s="29">
        <v>1.0868575745073199</v>
      </c>
      <c r="F90" s="29">
        <v>0.14442811549481299</v>
      </c>
      <c r="G90" s="27" t="str">
        <f t="shared" si="2"/>
        <v/>
      </c>
      <c r="H90" s="23"/>
      <c r="I90" s="23"/>
    </row>
    <row r="91" spans="1:9" ht="17" hidden="1" customHeight="1">
      <c r="A91" s="27" t="s">
        <v>43</v>
      </c>
      <c r="B91" s="27" t="s">
        <v>64</v>
      </c>
      <c r="C91" s="29">
        <v>-1.2676673915225501E-2</v>
      </c>
      <c r="D91" s="29">
        <v>9.8885133310720894E-2</v>
      </c>
      <c r="E91" s="29">
        <v>1.0778432375806</v>
      </c>
      <c r="F91" s="29">
        <v>0.139746285024721</v>
      </c>
      <c r="G91" s="27" t="str">
        <f t="shared" si="2"/>
        <v/>
      </c>
      <c r="H91" s="23"/>
      <c r="I91" s="23"/>
    </row>
    <row r="92" spans="1:9" ht="17" hidden="1" customHeight="1">
      <c r="A92" s="27" t="s">
        <v>45</v>
      </c>
      <c r="B92" s="27" t="s">
        <v>61</v>
      </c>
      <c r="C92" s="29">
        <v>3.5881815694058697E-2</v>
      </c>
      <c r="D92" s="29">
        <v>0.10726977885908701</v>
      </c>
      <c r="E92" s="29">
        <v>1.00118796947095</v>
      </c>
      <c r="F92" s="29">
        <v>0.16003452751956301</v>
      </c>
      <c r="G92" s="27" t="str">
        <f t="shared" si="2"/>
        <v/>
      </c>
      <c r="H92" s="23"/>
      <c r="I92" s="23"/>
    </row>
    <row r="93" spans="1:9" ht="17" hidden="1" customHeight="1">
      <c r="A93" s="27" t="s">
        <v>45</v>
      </c>
      <c r="B93" s="27" t="s">
        <v>33</v>
      </c>
      <c r="C93" s="29">
        <v>4.3023272105983702E-2</v>
      </c>
      <c r="D93" s="29">
        <v>0.12514549413492601</v>
      </c>
      <c r="E93" s="29">
        <v>1.0461044693131301</v>
      </c>
      <c r="F93" s="29">
        <v>0.18084528276206299</v>
      </c>
      <c r="G93" s="27" t="str">
        <f t="shared" si="2"/>
        <v/>
      </c>
      <c r="H93" s="23"/>
      <c r="I93" s="23"/>
    </row>
    <row r="94" spans="1:9" ht="17" customHeight="1">
      <c r="A94" s="27" t="s">
        <v>45</v>
      </c>
      <c r="B94" s="27" t="s">
        <v>34</v>
      </c>
      <c r="C94" s="29">
        <v>0.103200578428367</v>
      </c>
      <c r="D94" s="29">
        <v>0.11417358047272</v>
      </c>
      <c r="E94" s="29">
        <v>0.99092692245922998</v>
      </c>
      <c r="F94" s="29">
        <v>0.18504792442786699</v>
      </c>
      <c r="G94" s="29">
        <f t="shared" si="2"/>
        <v>1</v>
      </c>
      <c r="H94" s="23"/>
      <c r="I94" s="23"/>
    </row>
    <row r="95" spans="1:9" ht="17" customHeight="1">
      <c r="A95" s="27" t="s">
        <v>45</v>
      </c>
      <c r="B95" s="27" t="s">
        <v>13</v>
      </c>
      <c r="C95" s="29">
        <v>0.118002091775219</v>
      </c>
      <c r="D95" s="29">
        <v>0.121903270490793</v>
      </c>
      <c r="E95" s="29">
        <v>1.12007605485354</v>
      </c>
      <c r="F95" s="29">
        <v>0.20000561522332599</v>
      </c>
      <c r="G95" s="29">
        <f t="shared" si="2"/>
        <v>1</v>
      </c>
      <c r="H95" s="23"/>
      <c r="I95" s="23"/>
    </row>
    <row r="96" spans="1:9" ht="17" customHeight="1">
      <c r="A96" s="27" t="s">
        <v>45</v>
      </c>
      <c r="B96" s="27" t="s">
        <v>19</v>
      </c>
      <c r="C96" s="29">
        <v>0.198003252378258</v>
      </c>
      <c r="D96" s="29">
        <v>0.120181735802337</v>
      </c>
      <c r="E96" s="29">
        <v>0.95898308988094405</v>
      </c>
      <c r="F96" s="29">
        <v>0.17396843872638901</v>
      </c>
      <c r="G96" s="29">
        <f t="shared" si="2"/>
        <v>1</v>
      </c>
      <c r="H96" s="23"/>
      <c r="I96" s="23"/>
    </row>
    <row r="97" spans="1:9" ht="17" hidden="1" customHeight="1">
      <c r="A97" s="27" t="s">
        <v>45</v>
      </c>
      <c r="B97" s="27" t="s">
        <v>35</v>
      </c>
      <c r="C97" s="29">
        <v>2.91347093177176E-2</v>
      </c>
      <c r="D97" s="29">
        <v>0.107513386892405</v>
      </c>
      <c r="E97" s="29">
        <v>0.87844377141307395</v>
      </c>
      <c r="F97" s="29">
        <v>0.14352692481739501</v>
      </c>
      <c r="G97" s="27" t="str">
        <f t="shared" si="2"/>
        <v/>
      </c>
      <c r="H97" s="23"/>
      <c r="I97" s="23"/>
    </row>
    <row r="98" spans="1:9" ht="17" hidden="1" customHeight="1">
      <c r="A98" s="27" t="s">
        <v>45</v>
      </c>
      <c r="B98" s="27" t="s">
        <v>62</v>
      </c>
      <c r="C98" s="29">
        <v>4.11044795807088E-2</v>
      </c>
      <c r="D98" s="29">
        <v>0.11355284122748301</v>
      </c>
      <c r="E98" s="29">
        <v>0.92380344878056897</v>
      </c>
      <c r="F98" s="29">
        <v>0.15302777844940099</v>
      </c>
      <c r="G98" s="27" t="str">
        <f t="shared" ref="G98:G129" si="3">IF(C98:C98&gt;=0.05,1,"")</f>
        <v/>
      </c>
      <c r="H98" s="23"/>
      <c r="I98" s="23"/>
    </row>
    <row r="99" spans="1:9" ht="17" hidden="1" customHeight="1">
      <c r="A99" s="27" t="s">
        <v>45</v>
      </c>
      <c r="B99" s="27" t="s">
        <v>36</v>
      </c>
      <c r="C99" s="29">
        <v>4.3001191185293802E-2</v>
      </c>
      <c r="D99" s="29">
        <v>0.137011206175881</v>
      </c>
      <c r="E99" s="29">
        <v>1.12451725267332</v>
      </c>
      <c r="F99" s="29">
        <v>0.17228933118193199</v>
      </c>
      <c r="G99" s="27" t="str">
        <f t="shared" si="3"/>
        <v/>
      </c>
      <c r="H99" s="23"/>
      <c r="I99" s="23"/>
    </row>
    <row r="100" spans="1:9" ht="17" hidden="1" customHeight="1">
      <c r="A100" s="27" t="s">
        <v>45</v>
      </c>
      <c r="B100" s="27" t="s">
        <v>63</v>
      </c>
      <c r="C100" s="29">
        <v>-1.1423641934979901E-2</v>
      </c>
      <c r="D100" s="29">
        <v>0.12613605559516</v>
      </c>
      <c r="E100" s="29">
        <v>1.03454549491767</v>
      </c>
      <c r="F100" s="29">
        <v>0.18462069765831499</v>
      </c>
      <c r="G100" s="27" t="str">
        <f t="shared" si="3"/>
        <v/>
      </c>
      <c r="H100" s="23"/>
      <c r="I100" s="23"/>
    </row>
    <row r="101" spans="1:9" ht="17" hidden="1" customHeight="1">
      <c r="A101" s="27" t="s">
        <v>45</v>
      </c>
      <c r="B101" s="27" t="s">
        <v>64</v>
      </c>
      <c r="C101" s="29">
        <v>4.4645062565599698E-2</v>
      </c>
      <c r="D101" s="29">
        <v>0.11718021169821501</v>
      </c>
      <c r="E101" s="29">
        <v>1.0526086811733499</v>
      </c>
      <c r="F101" s="29">
        <v>0.202129654751113</v>
      </c>
      <c r="G101" s="27" t="str">
        <f t="shared" si="3"/>
        <v/>
      </c>
      <c r="H101" s="23"/>
      <c r="I101" s="23"/>
    </row>
    <row r="102" spans="1:9" ht="17" hidden="1" customHeight="1">
      <c r="A102" s="27" t="s">
        <v>48</v>
      </c>
      <c r="B102" s="27" t="s">
        <v>61</v>
      </c>
      <c r="C102" s="29">
        <v>1.0297595717864399E-3</v>
      </c>
      <c r="D102" s="29">
        <v>0.15280304793830701</v>
      </c>
      <c r="E102" s="29">
        <v>1.0684001102910401</v>
      </c>
      <c r="F102" s="29">
        <v>0.12724044080872901</v>
      </c>
      <c r="G102" s="27" t="str">
        <f t="shared" si="3"/>
        <v/>
      </c>
      <c r="H102" s="23"/>
      <c r="I102" s="23"/>
    </row>
    <row r="103" spans="1:9" ht="17" hidden="1" customHeight="1">
      <c r="A103" s="27" t="s">
        <v>48</v>
      </c>
      <c r="B103" s="27" t="s">
        <v>33</v>
      </c>
      <c r="C103" s="29">
        <v>-1.0229646722280701E-2</v>
      </c>
      <c r="D103" s="29">
        <v>0.14507788356564699</v>
      </c>
      <c r="E103" s="29">
        <v>1.0335689175460301</v>
      </c>
      <c r="F103" s="29">
        <v>0.13253855767285</v>
      </c>
      <c r="G103" s="27" t="str">
        <f t="shared" si="3"/>
        <v/>
      </c>
      <c r="H103" s="23"/>
      <c r="I103" s="23"/>
    </row>
    <row r="104" spans="1:9" ht="17" hidden="1" customHeight="1">
      <c r="A104" s="27" t="s">
        <v>48</v>
      </c>
      <c r="B104" s="27" t="s">
        <v>34</v>
      </c>
      <c r="C104" s="29">
        <v>-9.3965055721250496E-2</v>
      </c>
      <c r="D104" s="29">
        <v>0.14049631614279101</v>
      </c>
      <c r="E104" s="29">
        <v>1.08068820660982</v>
      </c>
      <c r="F104" s="29">
        <v>0.15328462194010001</v>
      </c>
      <c r="G104" s="27" t="str">
        <f t="shared" si="3"/>
        <v/>
      </c>
      <c r="H104" s="23"/>
      <c r="I104" s="23"/>
    </row>
    <row r="105" spans="1:9" ht="17" customHeight="1">
      <c r="A105" s="27" t="s">
        <v>48</v>
      </c>
      <c r="B105" s="27" t="s">
        <v>13</v>
      </c>
      <c r="C105" s="29">
        <v>8.0389362752440893E-2</v>
      </c>
      <c r="D105" s="29">
        <v>0.13965179462930599</v>
      </c>
      <c r="E105" s="29">
        <v>1.0479921902131</v>
      </c>
      <c r="F105" s="29">
        <v>0.17742702863566301</v>
      </c>
      <c r="G105" s="29">
        <f t="shared" si="3"/>
        <v>1</v>
      </c>
      <c r="H105" s="23"/>
      <c r="I105" s="23"/>
    </row>
    <row r="106" spans="1:9" ht="17" customHeight="1">
      <c r="A106" s="27" t="s">
        <v>48</v>
      </c>
      <c r="B106" s="27" t="s">
        <v>19</v>
      </c>
      <c r="C106" s="29">
        <v>5.2029735383253499E-2</v>
      </c>
      <c r="D106" s="29">
        <v>0.119086858787598</v>
      </c>
      <c r="E106" s="29">
        <v>1.00807813256345</v>
      </c>
      <c r="F106" s="29">
        <v>0.143783763859203</v>
      </c>
      <c r="G106" s="29">
        <f t="shared" si="3"/>
        <v>1</v>
      </c>
      <c r="H106" s="23"/>
      <c r="I106" s="23"/>
    </row>
    <row r="107" spans="1:9" ht="17" hidden="1" customHeight="1">
      <c r="A107" s="27" t="s">
        <v>48</v>
      </c>
      <c r="B107" s="27" t="s">
        <v>35</v>
      </c>
      <c r="C107" s="29">
        <v>-7.6597269794643805E-2</v>
      </c>
      <c r="D107" s="29">
        <v>0.120853035339662</v>
      </c>
      <c r="E107" s="29">
        <v>0.96305942518606802</v>
      </c>
      <c r="F107" s="29">
        <v>0.126303816996573</v>
      </c>
      <c r="G107" s="27" t="str">
        <f t="shared" si="3"/>
        <v/>
      </c>
      <c r="H107" s="23"/>
      <c r="I107" s="23"/>
    </row>
    <row r="108" spans="1:9" ht="17" hidden="1" customHeight="1">
      <c r="A108" s="27" t="s">
        <v>48</v>
      </c>
      <c r="B108" s="27" t="s">
        <v>62</v>
      </c>
      <c r="C108" s="29">
        <v>-4.8829767874224897E-2</v>
      </c>
      <c r="D108" s="29">
        <v>0.115505079279056</v>
      </c>
      <c r="E108" s="29">
        <v>0.87433602006248401</v>
      </c>
      <c r="F108" s="29">
        <v>0.121044453957798</v>
      </c>
      <c r="G108" s="27" t="str">
        <f t="shared" si="3"/>
        <v/>
      </c>
      <c r="H108" s="23"/>
      <c r="I108" s="23"/>
    </row>
    <row r="109" spans="1:9" ht="17" hidden="1" customHeight="1">
      <c r="A109" s="27" t="s">
        <v>48</v>
      </c>
      <c r="B109" s="27" t="s">
        <v>36</v>
      </c>
      <c r="C109" s="29">
        <v>-4.7725911761953399E-2</v>
      </c>
      <c r="D109" s="29">
        <v>0.14031207141542601</v>
      </c>
      <c r="E109" s="29">
        <v>1.0357348484328599</v>
      </c>
      <c r="F109" s="29">
        <v>0.155882124463981</v>
      </c>
      <c r="G109" s="27" t="str">
        <f t="shared" si="3"/>
        <v/>
      </c>
      <c r="H109" s="23"/>
      <c r="I109" s="23"/>
    </row>
    <row r="110" spans="1:9" ht="17" hidden="1" customHeight="1">
      <c r="A110" s="27" t="s">
        <v>48</v>
      </c>
      <c r="B110" s="27" t="s">
        <v>63</v>
      </c>
      <c r="C110" s="29">
        <v>-4.0461678990509703E-2</v>
      </c>
      <c r="D110" s="29">
        <v>0.125514725212618</v>
      </c>
      <c r="E110" s="29">
        <v>1.0552765078575299</v>
      </c>
      <c r="F110" s="29">
        <v>0.13672439522332899</v>
      </c>
      <c r="G110" s="27" t="str">
        <f t="shared" si="3"/>
        <v/>
      </c>
      <c r="H110" s="23"/>
      <c r="I110" s="23"/>
    </row>
    <row r="111" spans="1:9" ht="17" hidden="1" customHeight="1">
      <c r="A111" s="27" t="s">
        <v>48</v>
      </c>
      <c r="B111" s="27" t="s">
        <v>64</v>
      </c>
      <c r="C111" s="29">
        <v>-1.6286694952926801E-2</v>
      </c>
      <c r="D111" s="29">
        <v>0.119330114401437</v>
      </c>
      <c r="E111" s="29">
        <v>1.0668836590444799</v>
      </c>
      <c r="F111" s="29">
        <v>0.14956876511011799</v>
      </c>
      <c r="G111" s="27" t="str">
        <f t="shared" si="3"/>
        <v/>
      </c>
      <c r="H111" s="23"/>
      <c r="I111" s="23"/>
    </row>
    <row r="112" spans="1:9" ht="17" hidden="1" customHeight="1">
      <c r="A112" s="27" t="s">
        <v>50</v>
      </c>
      <c r="B112" s="27" t="s">
        <v>61</v>
      </c>
      <c r="C112" s="29">
        <v>3.8864818238071502E-2</v>
      </c>
      <c r="D112" s="29">
        <v>0.11129512808476801</v>
      </c>
      <c r="E112" s="29">
        <v>0.98784103350057695</v>
      </c>
      <c r="F112" s="29">
        <v>0.20116266586231499</v>
      </c>
      <c r="G112" s="27" t="str">
        <f t="shared" si="3"/>
        <v/>
      </c>
      <c r="H112" s="23"/>
      <c r="I112" s="23"/>
    </row>
    <row r="113" spans="1:9" ht="17" hidden="1" customHeight="1">
      <c r="A113" s="27" t="s">
        <v>50</v>
      </c>
      <c r="B113" s="27" t="s">
        <v>33</v>
      </c>
      <c r="C113" s="29">
        <v>2.55955821166126E-2</v>
      </c>
      <c r="D113" s="29">
        <v>9.9905231874700406E-2</v>
      </c>
      <c r="E113" s="29">
        <v>1.0752241364653401</v>
      </c>
      <c r="F113" s="29">
        <v>0.24059694263734099</v>
      </c>
      <c r="G113" s="27" t="str">
        <f t="shared" si="3"/>
        <v/>
      </c>
      <c r="H113" s="23"/>
      <c r="I113" s="23"/>
    </row>
    <row r="114" spans="1:9" ht="17" hidden="1" customHeight="1">
      <c r="A114" s="27" t="s">
        <v>50</v>
      </c>
      <c r="B114" s="27" t="s">
        <v>34</v>
      </c>
      <c r="C114" s="29">
        <v>1.8997349559807201E-2</v>
      </c>
      <c r="D114" s="29">
        <v>9.1221463215784601E-2</v>
      </c>
      <c r="E114" s="29">
        <v>1.0690216562644901</v>
      </c>
      <c r="F114" s="29">
        <v>0.21842471545941999</v>
      </c>
      <c r="G114" s="27" t="str">
        <f t="shared" si="3"/>
        <v/>
      </c>
      <c r="H114" s="23"/>
      <c r="I114" s="23"/>
    </row>
    <row r="115" spans="1:9" ht="17" customHeight="1">
      <c r="A115" s="27" t="s">
        <v>50</v>
      </c>
      <c r="B115" s="27" t="s">
        <v>13</v>
      </c>
      <c r="C115" s="29">
        <v>7.5992630780624501E-2</v>
      </c>
      <c r="D115" s="29">
        <v>0.10059243900992</v>
      </c>
      <c r="E115" s="29">
        <v>1.0710297490656899</v>
      </c>
      <c r="F115" s="29">
        <v>0.22903923412104299</v>
      </c>
      <c r="G115" s="29">
        <f t="shared" si="3"/>
        <v>1</v>
      </c>
      <c r="H115" s="23"/>
      <c r="I115" s="23"/>
    </row>
    <row r="116" spans="1:9" ht="17" customHeight="1">
      <c r="A116" s="27" t="s">
        <v>50</v>
      </c>
      <c r="B116" s="27" t="s">
        <v>19</v>
      </c>
      <c r="C116" s="29">
        <v>0.114115223389369</v>
      </c>
      <c r="D116" s="29">
        <v>0.12048882304225</v>
      </c>
      <c r="E116" s="29">
        <v>1.0442018131436399</v>
      </c>
      <c r="F116" s="29">
        <v>0.21418650484952001</v>
      </c>
      <c r="G116" s="29">
        <f t="shared" si="3"/>
        <v>1</v>
      </c>
      <c r="H116" s="23"/>
      <c r="I116" s="23"/>
    </row>
    <row r="117" spans="1:9" ht="17" hidden="1" customHeight="1">
      <c r="A117" s="27" t="s">
        <v>50</v>
      </c>
      <c r="B117" s="27" t="s">
        <v>35</v>
      </c>
      <c r="C117" s="29">
        <v>-4.3354376445077598E-3</v>
      </c>
      <c r="D117" s="29">
        <v>8.7442651247839898E-2</v>
      </c>
      <c r="E117" s="29">
        <v>0.98060010770745298</v>
      </c>
      <c r="F117" s="29">
        <v>0.17520037294117399</v>
      </c>
      <c r="G117" s="27" t="str">
        <f t="shared" si="3"/>
        <v/>
      </c>
      <c r="H117" s="23"/>
      <c r="I117" s="23"/>
    </row>
    <row r="118" spans="1:9" ht="17" hidden="1" customHeight="1">
      <c r="A118" s="27" t="s">
        <v>50</v>
      </c>
      <c r="B118" s="27" t="s">
        <v>62</v>
      </c>
      <c r="C118" s="29">
        <v>-5.6654703189375398E-2</v>
      </c>
      <c r="D118" s="29">
        <v>8.3411635280961294E-2</v>
      </c>
      <c r="E118" s="29">
        <v>0.84721789926871005</v>
      </c>
      <c r="F118" s="29">
        <v>0.16141960697583699</v>
      </c>
      <c r="G118" s="27" t="str">
        <f t="shared" si="3"/>
        <v/>
      </c>
      <c r="H118" s="23"/>
      <c r="I118" s="23"/>
    </row>
    <row r="119" spans="1:9" ht="17" hidden="1" customHeight="1">
      <c r="A119" s="27" t="s">
        <v>50</v>
      </c>
      <c r="B119" s="27" t="s">
        <v>36</v>
      </c>
      <c r="C119" s="29">
        <v>-3.7522876692075401E-2</v>
      </c>
      <c r="D119" s="29">
        <v>0.107487276969347</v>
      </c>
      <c r="E119" s="29">
        <v>1.15231361132153</v>
      </c>
      <c r="F119" s="29">
        <v>0.27065359732757899</v>
      </c>
      <c r="G119" s="27" t="str">
        <f t="shared" si="3"/>
        <v/>
      </c>
      <c r="H119" s="23"/>
      <c r="I119" s="23"/>
    </row>
    <row r="120" spans="1:9" ht="17" hidden="1" customHeight="1">
      <c r="A120" s="27" t="s">
        <v>50</v>
      </c>
      <c r="B120" s="27" t="s">
        <v>63</v>
      </c>
      <c r="C120" s="29">
        <v>-3.8988260825747197E-2</v>
      </c>
      <c r="D120" s="29">
        <v>0.101164885353678</v>
      </c>
      <c r="E120" s="29">
        <v>1.0039440944370599</v>
      </c>
      <c r="F120" s="29">
        <v>0.20279922785408699</v>
      </c>
      <c r="G120" s="27" t="str">
        <f t="shared" si="3"/>
        <v/>
      </c>
      <c r="H120" s="23"/>
      <c r="I120" s="23"/>
    </row>
    <row r="121" spans="1:9" ht="17" hidden="1" customHeight="1">
      <c r="A121" s="27" t="s">
        <v>50</v>
      </c>
      <c r="B121" s="27" t="s">
        <v>64</v>
      </c>
      <c r="C121" s="29">
        <v>2.97659792025824E-2</v>
      </c>
      <c r="D121" s="29">
        <v>0.107431128026788</v>
      </c>
      <c r="E121" s="29">
        <v>1.05946570236205</v>
      </c>
      <c r="F121" s="29">
        <v>0.223845846420685</v>
      </c>
      <c r="G121" s="27" t="str">
        <f t="shared" si="3"/>
        <v/>
      </c>
      <c r="H121" s="23"/>
      <c r="I121" s="23"/>
    </row>
    <row r="122" spans="1:9" ht="17" hidden="1" customHeight="1">
      <c r="A122" s="27" t="s">
        <v>65</v>
      </c>
      <c r="B122" s="27" t="s">
        <v>61</v>
      </c>
      <c r="C122" s="29">
        <v>-9.0502306572602092E-3</v>
      </c>
      <c r="D122" s="29">
        <v>0.14883925940943099</v>
      </c>
      <c r="E122" s="29">
        <v>1.5583724905276599</v>
      </c>
      <c r="F122" s="29">
        <v>0.63942887322042796</v>
      </c>
      <c r="G122" s="27" t="str">
        <f t="shared" si="3"/>
        <v/>
      </c>
      <c r="H122" s="23"/>
      <c r="I122" s="23"/>
    </row>
    <row r="123" spans="1:9" ht="17" hidden="1" customHeight="1">
      <c r="A123" s="27" t="s">
        <v>65</v>
      </c>
      <c r="B123" s="27" t="s">
        <v>33</v>
      </c>
      <c r="C123" s="29">
        <v>4.3165177212034299E-2</v>
      </c>
      <c r="D123" s="29">
        <v>0.15023989852126499</v>
      </c>
      <c r="E123" s="29">
        <v>1.2903093385115401</v>
      </c>
      <c r="F123" s="29">
        <v>0.45082926445709398</v>
      </c>
      <c r="G123" s="27" t="str">
        <f t="shared" si="3"/>
        <v/>
      </c>
      <c r="H123" s="23"/>
      <c r="I123" s="23"/>
    </row>
    <row r="124" spans="1:9" ht="17" hidden="1" customHeight="1">
      <c r="A124" s="27" t="s">
        <v>65</v>
      </c>
      <c r="B124" s="27" t="s">
        <v>34</v>
      </c>
      <c r="C124" s="29">
        <v>-4.59549899968218E-2</v>
      </c>
      <c r="D124" s="29">
        <v>9.9106958562547698E-2</v>
      </c>
      <c r="E124" s="29">
        <v>1.0877444733798201</v>
      </c>
      <c r="F124" s="29">
        <v>0.43078028323277201</v>
      </c>
      <c r="G124" s="27" t="str">
        <f t="shared" si="3"/>
        <v/>
      </c>
      <c r="H124" s="23"/>
      <c r="I124" s="23"/>
    </row>
    <row r="125" spans="1:9" ht="17" hidden="1" customHeight="1">
      <c r="A125" s="27" t="s">
        <v>65</v>
      </c>
      <c r="B125" s="27" t="s">
        <v>13</v>
      </c>
      <c r="C125" s="29">
        <v>3.9878178097867397E-3</v>
      </c>
      <c r="D125" s="29">
        <v>0.111838596972361</v>
      </c>
      <c r="E125" s="29">
        <v>1.8332552616964399</v>
      </c>
      <c r="F125" s="29">
        <v>0.849884714296682</v>
      </c>
      <c r="G125" s="27" t="str">
        <f t="shared" si="3"/>
        <v/>
      </c>
      <c r="H125" s="23"/>
      <c r="I125" s="23"/>
    </row>
    <row r="126" spans="1:9" ht="17" hidden="1" customHeight="1">
      <c r="A126" s="27" t="s">
        <v>65</v>
      </c>
      <c r="B126" s="27" t="s">
        <v>19</v>
      </c>
      <c r="C126" s="29">
        <v>-3.7708503038564899E-2</v>
      </c>
      <c r="D126" s="29">
        <v>8.4629371009601703E-2</v>
      </c>
      <c r="E126" s="29">
        <v>1.29669046203158</v>
      </c>
      <c r="F126" s="29">
        <v>0.43138781632297801</v>
      </c>
      <c r="G126" s="27" t="str">
        <f t="shared" si="3"/>
        <v/>
      </c>
      <c r="H126" s="23"/>
      <c r="I126" s="23"/>
    </row>
    <row r="127" spans="1:9" ht="17" hidden="1" customHeight="1">
      <c r="A127" s="27" t="s">
        <v>65</v>
      </c>
      <c r="B127" s="27" t="s">
        <v>35</v>
      </c>
      <c r="C127" s="29">
        <v>-9.0773431516320696E-3</v>
      </c>
      <c r="D127" s="29">
        <v>7.8639220061798396E-2</v>
      </c>
      <c r="E127" s="29">
        <v>1.10435016285568</v>
      </c>
      <c r="F127" s="29">
        <v>0.42633408236595399</v>
      </c>
      <c r="G127" s="27" t="str">
        <f t="shared" si="3"/>
        <v/>
      </c>
      <c r="H127" s="23"/>
      <c r="I127" s="23"/>
    </row>
    <row r="128" spans="1:9" ht="17" hidden="1" customHeight="1">
      <c r="A128" s="27" t="s">
        <v>65</v>
      </c>
      <c r="B128" s="27" t="s">
        <v>62</v>
      </c>
      <c r="C128" s="29">
        <v>4.6680525939569201E-2</v>
      </c>
      <c r="D128" s="29">
        <v>7.63389323950103E-2</v>
      </c>
      <c r="E128" s="29">
        <v>0.92443238792654803</v>
      </c>
      <c r="F128" s="29">
        <v>0.27223031066142001</v>
      </c>
      <c r="G128" s="27" t="str">
        <f t="shared" si="3"/>
        <v/>
      </c>
      <c r="H128" s="23"/>
      <c r="I128" s="23"/>
    </row>
    <row r="129" spans="1:9" ht="17" hidden="1" customHeight="1">
      <c r="A129" s="27" t="s">
        <v>65</v>
      </c>
      <c r="B129" s="27" t="s">
        <v>36</v>
      </c>
      <c r="C129" s="29">
        <v>-1.5759125413777501E-2</v>
      </c>
      <c r="D129" s="29">
        <v>0.11876424171566601</v>
      </c>
      <c r="E129" s="29">
        <v>1.1174730177060099</v>
      </c>
      <c r="F129" s="29">
        <v>0.34454343041708901</v>
      </c>
      <c r="G129" s="27" t="str">
        <f t="shared" si="3"/>
        <v/>
      </c>
      <c r="H129" s="23"/>
      <c r="I129" s="23"/>
    </row>
    <row r="130" spans="1:9" ht="17" hidden="1" customHeight="1">
      <c r="A130" s="27" t="s">
        <v>65</v>
      </c>
      <c r="B130" s="27" t="s">
        <v>63</v>
      </c>
      <c r="C130" s="29">
        <v>3.3452083975676401E-2</v>
      </c>
      <c r="D130" s="29">
        <v>0.125150389447439</v>
      </c>
      <c r="E130" s="29">
        <v>1.5742267820259199</v>
      </c>
      <c r="F130" s="29">
        <v>0.58465161338002103</v>
      </c>
      <c r="G130" s="27" t="str">
        <f t="shared" ref="G130:G161" si="4">IF(C130:C130&gt;=0.05,1,"")</f>
        <v/>
      </c>
      <c r="H130" s="23"/>
      <c r="I130" s="23"/>
    </row>
    <row r="131" spans="1:9" ht="17" hidden="1" customHeight="1">
      <c r="A131" s="27" t="s">
        <v>65</v>
      </c>
      <c r="B131" s="27" t="s">
        <v>64</v>
      </c>
      <c r="C131" s="29">
        <v>4.0800806458050398E-2</v>
      </c>
      <c r="D131" s="29">
        <v>0.121013886076174</v>
      </c>
      <c r="E131" s="29">
        <v>1.4017841234028099</v>
      </c>
      <c r="F131" s="29">
        <v>0.59447153748131898</v>
      </c>
      <c r="G131" s="27" t="str">
        <f t="shared" si="4"/>
        <v/>
      </c>
      <c r="H131" s="23"/>
      <c r="I131" s="23"/>
    </row>
    <row r="132" spans="1:9" ht="17" hidden="1" customHeight="1">
      <c r="A132" s="27" t="s">
        <v>31</v>
      </c>
      <c r="B132" s="27" t="s">
        <v>61</v>
      </c>
      <c r="C132" s="29">
        <v>4.3715223502389502E-2</v>
      </c>
      <c r="D132" s="29">
        <v>0.123783184232622</v>
      </c>
      <c r="E132" s="29">
        <v>1.14886304814331</v>
      </c>
      <c r="F132" s="29">
        <v>0.12659800459989201</v>
      </c>
      <c r="G132" s="27" t="str">
        <f t="shared" si="4"/>
        <v/>
      </c>
      <c r="H132" s="23"/>
      <c r="I132" s="23"/>
    </row>
    <row r="133" spans="1:9" ht="17" customHeight="1">
      <c r="A133" s="27" t="s">
        <v>31</v>
      </c>
      <c r="B133" s="27" t="s">
        <v>33</v>
      </c>
      <c r="C133" s="29">
        <v>7.7710361832953698E-2</v>
      </c>
      <c r="D133" s="29">
        <v>0.12861635388947201</v>
      </c>
      <c r="E133" s="29">
        <v>0.960837672297992</v>
      </c>
      <c r="F133" s="29">
        <v>0.12422878241025399</v>
      </c>
      <c r="G133" s="29">
        <f t="shared" si="4"/>
        <v>1</v>
      </c>
      <c r="H133" s="23"/>
      <c r="I133" s="23"/>
    </row>
    <row r="134" spans="1:9" ht="17" customHeight="1">
      <c r="A134" s="27" t="s">
        <v>31</v>
      </c>
      <c r="B134" s="27" t="s">
        <v>34</v>
      </c>
      <c r="C134" s="29">
        <v>7.3323925622790498E-2</v>
      </c>
      <c r="D134" s="29">
        <v>0.124032583004377</v>
      </c>
      <c r="E134" s="29">
        <v>1.0630115209826401</v>
      </c>
      <c r="F134" s="29">
        <v>0.13019561855450701</v>
      </c>
      <c r="G134" s="29">
        <f t="shared" si="4"/>
        <v>1</v>
      </c>
      <c r="H134" s="23"/>
      <c r="I134" s="23"/>
    </row>
    <row r="135" spans="1:9" ht="17" customHeight="1">
      <c r="A135" s="27" t="s">
        <v>31</v>
      </c>
      <c r="B135" s="27" t="s">
        <v>13</v>
      </c>
      <c r="C135" s="29">
        <v>0.103120421323687</v>
      </c>
      <c r="D135" s="29">
        <v>0.12949143614467701</v>
      </c>
      <c r="E135" s="29">
        <v>0.97150613959792498</v>
      </c>
      <c r="F135" s="29">
        <v>0.11343113100312301</v>
      </c>
      <c r="G135" s="29">
        <f t="shared" si="4"/>
        <v>1</v>
      </c>
      <c r="H135" s="23"/>
      <c r="I135" s="23"/>
    </row>
    <row r="136" spans="1:9" ht="17" customHeight="1">
      <c r="A136" s="27" t="s">
        <v>31</v>
      </c>
      <c r="B136" s="27" t="s">
        <v>19</v>
      </c>
      <c r="C136" s="29">
        <v>8.1179207339686699E-2</v>
      </c>
      <c r="D136" s="29">
        <v>0.122413745224088</v>
      </c>
      <c r="E136" s="29">
        <v>1.00290366652268</v>
      </c>
      <c r="F136" s="29">
        <v>0.13391395161297501</v>
      </c>
      <c r="G136" s="29">
        <f t="shared" si="4"/>
        <v>1</v>
      </c>
      <c r="H136" s="23"/>
      <c r="I136" s="23"/>
    </row>
    <row r="137" spans="1:9" ht="17" customHeight="1">
      <c r="A137" s="27" t="s">
        <v>31</v>
      </c>
      <c r="B137" s="27" t="s">
        <v>35</v>
      </c>
      <c r="C137" s="29">
        <v>9.8238230225012602E-2</v>
      </c>
      <c r="D137" s="29">
        <v>0.111471102081031</v>
      </c>
      <c r="E137" s="29">
        <v>1.0160797153021</v>
      </c>
      <c r="F137" s="29">
        <v>0.13369032822360599</v>
      </c>
      <c r="G137" s="29">
        <f t="shared" si="4"/>
        <v>1</v>
      </c>
      <c r="H137" s="23"/>
      <c r="I137" s="23"/>
    </row>
    <row r="138" spans="1:9" ht="17" hidden="1" customHeight="1">
      <c r="A138" s="27" t="s">
        <v>31</v>
      </c>
      <c r="B138" s="27" t="s">
        <v>62</v>
      </c>
      <c r="C138" s="29">
        <v>3.7122642319601398E-2</v>
      </c>
      <c r="D138" s="29">
        <v>0.125303612782725</v>
      </c>
      <c r="E138" s="29">
        <v>1.0780216639642299</v>
      </c>
      <c r="F138" s="29">
        <v>0.13397787295343899</v>
      </c>
      <c r="G138" s="27" t="str">
        <f t="shared" si="4"/>
        <v/>
      </c>
      <c r="H138" s="23"/>
      <c r="I138" s="23"/>
    </row>
    <row r="139" spans="1:9" ht="17" customHeight="1">
      <c r="A139" s="27" t="s">
        <v>31</v>
      </c>
      <c r="B139" s="27" t="s">
        <v>36</v>
      </c>
      <c r="C139" s="29">
        <v>6.8596399428382193E-2</v>
      </c>
      <c r="D139" s="29">
        <v>0.13353229978037501</v>
      </c>
      <c r="E139" s="29">
        <v>0.996583611804851</v>
      </c>
      <c r="F139" s="29">
        <v>0.128908386959418</v>
      </c>
      <c r="G139" s="29">
        <f t="shared" si="4"/>
        <v>1</v>
      </c>
      <c r="H139" s="23"/>
      <c r="I139" s="23"/>
    </row>
    <row r="140" spans="1:9" ht="17" customHeight="1">
      <c r="A140" s="27" t="s">
        <v>31</v>
      </c>
      <c r="B140" s="27" t="s">
        <v>63</v>
      </c>
      <c r="C140" s="29">
        <v>0.14420964510457099</v>
      </c>
      <c r="D140" s="29">
        <v>0.11457733085501</v>
      </c>
      <c r="E140" s="29">
        <v>1.02941107567761</v>
      </c>
      <c r="F140" s="29">
        <v>0.131751760006066</v>
      </c>
      <c r="G140" s="29">
        <f t="shared" si="4"/>
        <v>1</v>
      </c>
      <c r="H140" s="23"/>
      <c r="I140" s="23"/>
    </row>
    <row r="141" spans="1:9" ht="17" hidden="1" customHeight="1">
      <c r="A141" s="27" t="s">
        <v>31</v>
      </c>
      <c r="B141" s="27" t="s">
        <v>64</v>
      </c>
      <c r="C141" s="29">
        <v>1.5187907999078E-2</v>
      </c>
      <c r="D141" s="29">
        <v>0.14113063516287799</v>
      </c>
      <c r="E141" s="29">
        <v>1.1658764709079401</v>
      </c>
      <c r="F141" s="29">
        <v>0.14713272825866999</v>
      </c>
      <c r="G141" s="27" t="str">
        <f t="shared" si="4"/>
        <v/>
      </c>
      <c r="H141" s="23"/>
      <c r="I141" s="23"/>
    </row>
    <row r="142" spans="1:9" ht="17" hidden="1" customHeight="1">
      <c r="A142" s="27" t="s">
        <v>37</v>
      </c>
      <c r="B142" s="27" t="s">
        <v>61</v>
      </c>
      <c r="C142" s="29">
        <v>4.4075093049918003E-2</v>
      </c>
      <c r="D142" s="29">
        <v>0.114972156347799</v>
      </c>
      <c r="E142" s="29">
        <v>1.1493822872470401</v>
      </c>
      <c r="F142" s="29">
        <v>0.119595281974953</v>
      </c>
      <c r="G142" s="27" t="str">
        <f t="shared" si="4"/>
        <v/>
      </c>
      <c r="H142" s="23"/>
      <c r="I142" s="23"/>
    </row>
    <row r="143" spans="1:9" ht="17" customHeight="1">
      <c r="A143" s="27" t="s">
        <v>37</v>
      </c>
      <c r="B143" s="27" t="s">
        <v>33</v>
      </c>
      <c r="C143" s="29">
        <v>7.8398210553723993E-2</v>
      </c>
      <c r="D143" s="29">
        <v>0.100616810827709</v>
      </c>
      <c r="E143" s="29">
        <v>0.96111999745321697</v>
      </c>
      <c r="F143" s="29">
        <v>0.12113585856884999</v>
      </c>
      <c r="G143" s="29">
        <f t="shared" si="4"/>
        <v>1</v>
      </c>
      <c r="H143" s="23"/>
      <c r="I143" s="23"/>
    </row>
    <row r="144" spans="1:9" ht="17" customHeight="1">
      <c r="A144" s="27" t="s">
        <v>37</v>
      </c>
      <c r="B144" s="27" t="s">
        <v>34</v>
      </c>
      <c r="C144" s="29">
        <v>7.4107861601643302E-2</v>
      </c>
      <c r="D144" s="29">
        <v>0.12752988629950701</v>
      </c>
      <c r="E144" s="29">
        <v>1.06289548528321</v>
      </c>
      <c r="F144" s="29">
        <v>0.11098493238117001</v>
      </c>
      <c r="G144" s="29">
        <f t="shared" si="4"/>
        <v>1</v>
      </c>
      <c r="H144" s="23"/>
      <c r="I144" s="23"/>
    </row>
    <row r="145" spans="1:9" ht="17" customHeight="1">
      <c r="A145" s="27" t="s">
        <v>37</v>
      </c>
      <c r="B145" s="27" t="s">
        <v>13</v>
      </c>
      <c r="C145" s="29">
        <v>0.103476412517763</v>
      </c>
      <c r="D145" s="29">
        <v>0.129401453937497</v>
      </c>
      <c r="E145" s="29">
        <v>0.97152609598648598</v>
      </c>
      <c r="F145" s="29">
        <v>0.10914171414933201</v>
      </c>
      <c r="G145" s="29">
        <f t="shared" si="4"/>
        <v>1</v>
      </c>
      <c r="H145" s="23"/>
      <c r="I145" s="23"/>
    </row>
    <row r="146" spans="1:9" ht="17" customHeight="1">
      <c r="A146" s="27" t="s">
        <v>37</v>
      </c>
      <c r="B146" s="27" t="s">
        <v>19</v>
      </c>
      <c r="C146" s="29">
        <v>8.15257072346324E-2</v>
      </c>
      <c r="D146" s="29">
        <v>0.13029922319710099</v>
      </c>
      <c r="E146" s="29">
        <v>1.0033158167963001</v>
      </c>
      <c r="F146" s="29">
        <v>0.12728580269945799</v>
      </c>
      <c r="G146" s="29">
        <f t="shared" si="4"/>
        <v>1</v>
      </c>
      <c r="H146" s="23"/>
      <c r="I146" s="23"/>
    </row>
    <row r="147" spans="1:9" ht="17" customHeight="1">
      <c r="A147" s="27" t="s">
        <v>37</v>
      </c>
      <c r="B147" s="27" t="s">
        <v>35</v>
      </c>
      <c r="C147" s="29">
        <v>9.8935170285918E-2</v>
      </c>
      <c r="D147" s="29">
        <v>0.102633073819329</v>
      </c>
      <c r="E147" s="29">
        <v>1.01653656391903</v>
      </c>
      <c r="F147" s="29">
        <v>0.11741340093212201</v>
      </c>
      <c r="G147" s="29">
        <f t="shared" si="4"/>
        <v>1</v>
      </c>
      <c r="H147" s="23"/>
      <c r="I147" s="23"/>
    </row>
    <row r="148" spans="1:9" ht="17" hidden="1" customHeight="1">
      <c r="A148" s="27" t="s">
        <v>37</v>
      </c>
      <c r="B148" s="27" t="s">
        <v>62</v>
      </c>
      <c r="C148" s="29">
        <v>3.7763678274354798E-2</v>
      </c>
      <c r="D148" s="29">
        <v>0.10652960068110801</v>
      </c>
      <c r="E148" s="29">
        <v>1.0784172793607001</v>
      </c>
      <c r="F148" s="29">
        <v>0.11824601372292599</v>
      </c>
      <c r="G148" s="27" t="str">
        <f t="shared" si="4"/>
        <v/>
      </c>
      <c r="H148" s="23"/>
      <c r="I148" s="23"/>
    </row>
    <row r="149" spans="1:9" ht="17" customHeight="1">
      <c r="A149" s="27" t="s">
        <v>37</v>
      </c>
      <c r="B149" s="27" t="s">
        <v>36</v>
      </c>
      <c r="C149" s="29">
        <v>6.8821132933106405E-2</v>
      </c>
      <c r="D149" s="29">
        <v>0.107848806166652</v>
      </c>
      <c r="E149" s="29">
        <v>0.99609110488963004</v>
      </c>
      <c r="F149" s="29">
        <v>0.12667192703771399</v>
      </c>
      <c r="G149" s="29">
        <f t="shared" si="4"/>
        <v>1</v>
      </c>
      <c r="H149" s="23"/>
      <c r="I149" s="23"/>
    </row>
    <row r="150" spans="1:9" ht="17" customHeight="1">
      <c r="A150" s="27" t="s">
        <v>37</v>
      </c>
      <c r="B150" s="27" t="s">
        <v>63</v>
      </c>
      <c r="C150" s="29">
        <v>0.14443014391926701</v>
      </c>
      <c r="D150" s="29">
        <v>0.104651886358261</v>
      </c>
      <c r="E150" s="29">
        <v>1.0300673438990899</v>
      </c>
      <c r="F150" s="29">
        <v>0.126639189364223</v>
      </c>
      <c r="G150" s="29">
        <f t="shared" si="4"/>
        <v>1</v>
      </c>
      <c r="H150" s="23"/>
      <c r="I150" s="23"/>
    </row>
    <row r="151" spans="1:9" ht="17" hidden="1" customHeight="1">
      <c r="A151" s="27" t="s">
        <v>37</v>
      </c>
      <c r="B151" s="27" t="s">
        <v>64</v>
      </c>
      <c r="C151" s="29">
        <v>1.61614994514565E-2</v>
      </c>
      <c r="D151" s="29">
        <v>0.10377927715429899</v>
      </c>
      <c r="E151" s="29">
        <v>1.16617657451576</v>
      </c>
      <c r="F151" s="29">
        <v>0.12627267886226601</v>
      </c>
      <c r="G151" s="27" t="str">
        <f t="shared" si="4"/>
        <v/>
      </c>
      <c r="H151" s="23"/>
      <c r="I151" s="23"/>
    </row>
    <row r="152" spans="1:9" ht="17" hidden="1" customHeight="1">
      <c r="A152" s="27" t="s">
        <v>39</v>
      </c>
      <c r="B152" s="27" t="s">
        <v>61</v>
      </c>
      <c r="C152" s="29">
        <v>4.4370373947967702E-2</v>
      </c>
      <c r="D152" s="29">
        <v>0.142552078883115</v>
      </c>
      <c r="E152" s="29">
        <v>1.1487099390607101</v>
      </c>
      <c r="F152" s="29">
        <v>0.118693095538001</v>
      </c>
      <c r="G152" s="27" t="str">
        <f t="shared" si="4"/>
        <v/>
      </c>
      <c r="H152" s="23"/>
      <c r="I152" s="23"/>
    </row>
    <row r="153" spans="1:9" ht="17" customHeight="1">
      <c r="A153" s="27" t="s">
        <v>39</v>
      </c>
      <c r="B153" s="27" t="s">
        <v>33</v>
      </c>
      <c r="C153" s="29">
        <v>7.8489122200160494E-2</v>
      </c>
      <c r="D153" s="29">
        <v>0.11013739072616401</v>
      </c>
      <c r="E153" s="29">
        <v>0.96118280828701796</v>
      </c>
      <c r="F153" s="29">
        <v>0.12943175579027399</v>
      </c>
      <c r="G153" s="29">
        <f t="shared" si="4"/>
        <v>1</v>
      </c>
      <c r="H153" s="23"/>
      <c r="I153" s="23"/>
    </row>
    <row r="154" spans="1:9" ht="17" customHeight="1">
      <c r="A154" s="27" t="s">
        <v>39</v>
      </c>
      <c r="B154" s="27" t="s">
        <v>34</v>
      </c>
      <c r="C154" s="29">
        <v>7.4000489351135304E-2</v>
      </c>
      <c r="D154" s="29">
        <v>0.14033952050551701</v>
      </c>
      <c r="E154" s="29">
        <v>1.0633112279133601</v>
      </c>
      <c r="F154" s="29">
        <v>0.121700029892068</v>
      </c>
      <c r="G154" s="29">
        <f t="shared" si="4"/>
        <v>1</v>
      </c>
      <c r="H154" s="23"/>
      <c r="I154" s="23"/>
    </row>
    <row r="155" spans="1:9" ht="17" customHeight="1">
      <c r="A155" s="27" t="s">
        <v>39</v>
      </c>
      <c r="B155" s="27" t="s">
        <v>13</v>
      </c>
      <c r="C155" s="29">
        <v>0.103274442425367</v>
      </c>
      <c r="D155" s="29">
        <v>0.14270609738833601</v>
      </c>
      <c r="E155" s="29">
        <v>0.97087402088604402</v>
      </c>
      <c r="F155" s="29">
        <v>0.114579193233285</v>
      </c>
      <c r="G155" s="29">
        <f t="shared" si="4"/>
        <v>1</v>
      </c>
      <c r="H155" s="23"/>
      <c r="I155" s="23"/>
    </row>
    <row r="156" spans="1:9" ht="17" customHeight="1">
      <c r="A156" s="27" t="s">
        <v>39</v>
      </c>
      <c r="B156" s="27" t="s">
        <v>19</v>
      </c>
      <c r="C156" s="29">
        <v>8.1735463972185798E-2</v>
      </c>
      <c r="D156" s="29">
        <v>0.129000502605951</v>
      </c>
      <c r="E156" s="29">
        <v>1.00290669580491</v>
      </c>
      <c r="F156" s="29">
        <v>0.12277306783549601</v>
      </c>
      <c r="G156" s="29">
        <f t="shared" si="4"/>
        <v>1</v>
      </c>
      <c r="H156" s="23"/>
      <c r="I156" s="23"/>
    </row>
    <row r="157" spans="1:9" ht="17" customHeight="1">
      <c r="A157" s="27" t="s">
        <v>39</v>
      </c>
      <c r="B157" s="27" t="s">
        <v>35</v>
      </c>
      <c r="C157" s="29">
        <v>9.8715705401800094E-2</v>
      </c>
      <c r="D157" s="29">
        <v>0.121379290688236</v>
      </c>
      <c r="E157" s="29">
        <v>1.0160891176328199</v>
      </c>
      <c r="F157" s="29">
        <v>0.128727050092555</v>
      </c>
      <c r="G157" s="29">
        <f t="shared" si="4"/>
        <v>1</v>
      </c>
      <c r="H157" s="23"/>
      <c r="I157" s="23"/>
    </row>
    <row r="158" spans="1:9" ht="17" hidden="1" customHeight="1">
      <c r="A158" s="27" t="s">
        <v>39</v>
      </c>
      <c r="B158" s="27" t="s">
        <v>62</v>
      </c>
      <c r="C158" s="29">
        <v>3.7569201357910399E-2</v>
      </c>
      <c r="D158" s="29">
        <v>0.123822097349241</v>
      </c>
      <c r="E158" s="29">
        <v>1.0781491379096</v>
      </c>
      <c r="F158" s="29">
        <v>0.112450458790411</v>
      </c>
      <c r="G158" s="27" t="str">
        <f t="shared" si="4"/>
        <v/>
      </c>
      <c r="H158" s="23"/>
      <c r="I158" s="23"/>
    </row>
    <row r="159" spans="1:9" ht="17" customHeight="1">
      <c r="A159" s="27" t="s">
        <v>39</v>
      </c>
      <c r="B159" s="27" t="s">
        <v>36</v>
      </c>
      <c r="C159" s="29">
        <v>6.9020195556900907E-2</v>
      </c>
      <c r="D159" s="29">
        <v>0.13042302310187401</v>
      </c>
      <c r="E159" s="29">
        <v>0.99629130890599304</v>
      </c>
      <c r="F159" s="29">
        <v>0.11307303244835699</v>
      </c>
      <c r="G159" s="29">
        <f t="shared" si="4"/>
        <v>1</v>
      </c>
      <c r="H159" s="23"/>
      <c r="I159" s="23"/>
    </row>
    <row r="160" spans="1:9" ht="17" customHeight="1">
      <c r="A160" s="27" t="s">
        <v>39</v>
      </c>
      <c r="B160" s="27" t="s">
        <v>63</v>
      </c>
      <c r="C160" s="29">
        <v>0.14483325021632901</v>
      </c>
      <c r="D160" s="29">
        <v>0.124935592452463</v>
      </c>
      <c r="E160" s="29">
        <v>1.0295842726453299</v>
      </c>
      <c r="F160" s="29">
        <v>0.11612469286527199</v>
      </c>
      <c r="G160" s="29">
        <f t="shared" si="4"/>
        <v>1</v>
      </c>
      <c r="H160" s="23"/>
      <c r="I160" s="23"/>
    </row>
    <row r="161" spans="1:9" ht="17" hidden="1" customHeight="1">
      <c r="A161" s="27" t="s">
        <v>39</v>
      </c>
      <c r="B161" s="27" t="s">
        <v>64</v>
      </c>
      <c r="C161" s="29">
        <v>1.5386292111760199E-2</v>
      </c>
      <c r="D161" s="29">
        <v>0.132921943983697</v>
      </c>
      <c r="E161" s="29">
        <v>1.1660105125165201</v>
      </c>
      <c r="F161" s="29">
        <v>0.130799832165027</v>
      </c>
      <c r="G161" s="27" t="str">
        <f t="shared" si="4"/>
        <v/>
      </c>
      <c r="H161" s="23"/>
      <c r="I161" s="23"/>
    </row>
  </sheetData>
  <pageMargins left="0.75" right="0.75" top="1" bottom="1" header="0.5" footer="0.5"/>
  <pageSetup orientation="portrait"/>
  <headerFooter>
    <oddFooter>&amp;C&amp;"Helvetica Neue,Regular"&amp;12&amp;K000000&amp;P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results_w_regression_analysis</vt:lpstr>
      <vt:lpstr>sobol_sensitivity_results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Padur, Kart</cp:lastModifiedBy>
  <dcterms:modified xsi:type="dcterms:W3CDTF">2025-04-08T14:03:52Z</dcterms:modified>
</cp:coreProperties>
</file>